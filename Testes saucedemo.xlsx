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Plano de Teste" sheetId="2" r:id="rId6"/>
    <sheet state="visible" name="Cenários de Teste" sheetId="3" r:id="rId7"/>
    <sheet state="visible" name="Casos de Teste" sheetId="4" r:id="rId8"/>
    <sheet state="visible" name="Bug Report" sheetId="5" r:id="rId9"/>
    <sheet state="visible" name="Massa de Dados" sheetId="6" r:id="rId10"/>
    <sheet state="visible" name="Relatório Final" sheetId="7" r:id="rId11"/>
  </sheets>
  <definedNames>
    <definedName hidden="1" localSheetId="2" name="_xlnm._FilterDatabase">'Cenários de Teste'!$A$1:$H$1</definedName>
    <definedName hidden="1" localSheetId="3" name="_xlnm._FilterDatabase">'Casos de Teste'!$A$1:$N$1</definedName>
    <definedName hidden="1" localSheetId="4" name="_xlnm._FilterDatabase">'Bug Report'!$A$1:$N$1</definedName>
    <definedName hidden="1" localSheetId="5" name="_xlnm._FilterDatabase">'Massa de Dados'!$A$1:$D$1</definedName>
  </definedNames>
  <calcPr/>
</workbook>
</file>

<file path=xl/sharedStrings.xml><?xml version="1.0" encoding="utf-8"?>
<sst xmlns="http://schemas.openxmlformats.org/spreadsheetml/2006/main" count="646" uniqueCount="381">
  <si>
    <t>MODELO DE TESTES MANUAIS — MINI PROJETO QA</t>
  </si>
  <si>
    <t>Projeto prático: Sauce Demo (www.saucedemo.com)</t>
  </si>
  <si>
    <t>COMO USAR ESTA PLANILHA</t>
  </si>
  <si>
    <t>Esta planilha tem 6 abas, na ordem em que você deve preenchê-las durante o projeto:</t>
  </si>
  <si>
    <t>1. Plano de Teste — preencha primeiro, com a visão geral do que será testado.</t>
  </si>
  <si>
    <t>2. Cenários de Teste — liste o QUE será testado, em alto nível, a partir das funcionalidades do site.</t>
  </si>
  <si>
    <t>3. Casos de Teste — detalhe o COMO testar cada cenário, com passos e dados específicos.</t>
  </si>
  <si>
    <t>4. Bug Report — registre cada defeito encontrado durante a execução dos casos de teste.</t>
  </si>
  <si>
    <t>5. Massa de Dados — documente os dados de teste utilizados (usuários, produtos, cartões).</t>
  </si>
  <si>
    <t>6. Relatório Final — métricas calculadas automaticamente a partir das abas anteriores.</t>
  </si>
  <si>
    <t>CÉLULAS AMARELAS = EXEMPLOS</t>
  </si>
  <si>
    <t>As linhas com fundo amarelo em cada aba são exemplos preenchidos para te guiar.</t>
  </si>
  <si>
    <t>Apague ou substitua pelos seus próprios cenários, casos e bugs reais do Sauce Demo.</t>
  </si>
  <si>
    <t>CREDENCIAIS DE TESTE DO SAUCE DEMO</t>
  </si>
  <si>
    <t>standard_user / secret_sauce — usuário padrão, sem problemas conhecidos</t>
  </si>
  <si>
    <t>locked_out_user / secret_sauce — usuário bloqueado, útil para testar mensagem de erro</t>
  </si>
  <si>
    <t>problem_user / secret_sauce — usuário com bugs propositais de interface (ótimo para achar bugs!)</t>
  </si>
  <si>
    <t>performance_glitch_user / secret_sauce — usuário com lentidão propositais (teste de performance)</t>
  </si>
  <si>
    <t>error_user / secret_sauce — usuário com erros propositais em algumas ações</t>
  </si>
  <si>
    <t>visual_user / secret_sauce — usuário com bugs visuais propositais</t>
  </si>
  <si>
    <t>LEMBRETES RÁPIDOS</t>
  </si>
  <si>
    <t>Severidade = impacto técnico do bug (Crítico/Alto/Médio/Baixo).</t>
  </si>
  <si>
    <t>Prioridade = urgência de correção definida pelo negócio (Urgente/Alta/Média/Baixa).</t>
  </si>
  <si>
    <t>Sempre vincule: Cenário → Caso de Teste → Bug (quando houver). Isso é rastreabilidade.</t>
  </si>
  <si>
    <t>Toda evidência (print/vídeo) pode ser referenciada por link na coluna 'Evidência'.</t>
  </si>
  <si>
    <t>PLANO DE TESTE</t>
  </si>
  <si>
    <t>Projeto</t>
  </si>
  <si>
    <t>Sauce Demo — E-commerce de Teste</t>
  </si>
  <si>
    <t>Responsável</t>
  </si>
  <si>
    <t>Valesca Vargas</t>
  </si>
  <si>
    <t>Data de Início</t>
  </si>
  <si>
    <t>Data de Término</t>
  </si>
  <si>
    <t>URL do Ambiente</t>
  </si>
  <si>
    <t>https://www.saucedemo.com</t>
  </si>
  <si>
    <t>Objetivo</t>
  </si>
  <si>
    <t>Validar as funcionalidades de login, catálogo de produtos, carrinho de compras e checkout do site Sauce Demo, identificando defeitos funcionais e de usabilidade.</t>
  </si>
  <si>
    <t>Escopo (o que SERÁ testado)</t>
  </si>
  <si>
    <t>Login e autenticação; Listagem e ordenação de produtos; Adição/remoção de itens no carrinho; Fluxo de checkout (informações, visão geral e finalização).</t>
  </si>
  <si>
    <t>Fora do Escopo (o que NÃO será testado)</t>
  </si>
  <si>
    <t>Testes de performance em larga escala; Testes de segurança avançados (pentest); Compatibilidade em navegadores além do Chrome.</t>
  </si>
  <si>
    <t>Tipos de Teste Aplicados</t>
  </si>
  <si>
    <t>Funcional, Exploratório, Regressão, Usabilidade (básico)</t>
  </si>
  <si>
    <t>Critérios de Entrada</t>
  </si>
  <si>
    <t>Site acessível na URL informada; Credenciais de teste disponíveis (ver aba Massa de Dados); Casos de teste definidos.</t>
  </si>
  <si>
    <t>Critérios de Saída</t>
  </si>
  <si>
    <t>100% dos casos de teste planejados executados; Todos os bugs encontrados documentados com evidência; Relatório final preenchido.</t>
  </si>
  <si>
    <t>Ambiente / Navegador</t>
  </si>
  <si>
    <t>Chrome (versão mais recente) — Windows</t>
  </si>
  <si>
    <t>Ferramentas Utilizadas</t>
  </si>
  <si>
    <t>Navegador + DevTools (F12); Jira (bug reports); Esta planilha (cenários, casos de teste e massa de dados)</t>
  </si>
  <si>
    <t>Riscos Identificados</t>
  </si>
  <si>
    <t>Site de demonstração pode ter bugs propositais — necessário distinguir bug real de comportamento esperado do exercício.</t>
  </si>
  <si>
    <t>ID</t>
  </si>
  <si>
    <t>Funcionalidade</t>
  </si>
  <si>
    <t>Cenário (Descrição)</t>
  </si>
  <si>
    <t>Tipo</t>
  </si>
  <si>
    <t>Prioridade</t>
  </si>
  <si>
    <t>Critério de Aceite Relacionado</t>
  </si>
  <si>
    <t>Casos de Teste Vinculados</t>
  </si>
  <si>
    <t>Status</t>
  </si>
  <si>
    <t>CS01</t>
  </si>
  <si>
    <t>Login</t>
  </si>
  <si>
    <t>Verificar login com credenciais válidas (standard_user)</t>
  </si>
  <si>
    <t>Positivo</t>
  </si>
  <si>
    <t>Alta</t>
  </si>
  <si>
    <t>Usuário consegue acessar a lista de produtos após login</t>
  </si>
  <si>
    <t>CT01</t>
  </si>
  <si>
    <t>Em Andamento</t>
  </si>
  <si>
    <t>CS02</t>
  </si>
  <si>
    <t>Verificar comportamento com usuário bloqueado (locked_out_user)</t>
  </si>
  <si>
    <t>Negativo</t>
  </si>
  <si>
    <t>Sistema exibe mensagem informando que o usuário foi bloqueado</t>
  </si>
  <si>
    <t>CT02</t>
  </si>
  <si>
    <t>CS03</t>
  </si>
  <si>
    <t>Verificar comportamento preenchendo somente o username sem senha</t>
  </si>
  <si>
    <t>Sistema exibe mensagem "Epic sadface: Password is required"</t>
  </si>
  <si>
    <t>CS04</t>
  </si>
  <si>
    <t>Verificar comportamento preenchendo somente a senha e deixando o campo username vazio</t>
  </si>
  <si>
    <t xml:space="preserve">Sistema exibe mensagem "Epic sadface: Username is required"
</t>
  </si>
  <si>
    <t>CS05</t>
  </si>
  <si>
    <t>Verificar comportamento fazendo o login com os campos obrigatórios vazios</t>
  </si>
  <si>
    <t>CS06</t>
  </si>
  <si>
    <t>Verificar login com username e senha que não correspondem a nenhum usuário cadastrado no sistema</t>
  </si>
  <si>
    <t>Sistema exibe mensagem:  "Epic sadface: Username and password do not 
match any user in this service"</t>
  </si>
  <si>
    <t>CS07</t>
  </si>
  <si>
    <t>Produtos</t>
  </si>
  <si>
    <t xml:space="preserve">Verificar se todos os produtos estão sendo listados corretamente </t>
  </si>
  <si>
    <t>Média</t>
  </si>
  <si>
    <t>Todos os produtos aparecem na aba de produtos</t>
  </si>
  <si>
    <t>CS08</t>
  </si>
  <si>
    <t>Verificar se todos os produtos estão com o preço inserido</t>
  </si>
  <si>
    <t>Todos os produtos aparecem com seus valores respectivos</t>
  </si>
  <si>
    <t>CS09</t>
  </si>
  <si>
    <t>Verificar se todos os produtos aparecem na ordem correta quando selecionado a ordernação nome de  (A to Z)</t>
  </si>
  <si>
    <t>Todos os produtos aparecem na ordenação correta de A a Z</t>
  </si>
  <si>
    <t>CS10</t>
  </si>
  <si>
    <t>Verificar se ao clicar em 'Add to cart' o produto é adicionado corretamente ao carrinho (standard_user)</t>
  </si>
  <si>
    <t>O produto selecionado deve ser adicionado ao carrinho e o contador deve ser atualizado.</t>
  </si>
  <si>
    <t>CS101</t>
  </si>
  <si>
    <t>Verificar todos os produtos estão na ordem de preço do menor para o maior</t>
  </si>
  <si>
    <t>Todos os produtos aparecem na ordenação correta de menor para o maior</t>
  </si>
  <si>
    <t>CS11</t>
  </si>
  <si>
    <t>Verificar quando o produto é selelcionado abre a aba com a imagem, preço e descrição do produto</t>
  </si>
  <si>
    <t>Produto quando selecionado deve conter imagem, preço e descrição</t>
  </si>
  <si>
    <t>CS12</t>
  </si>
  <si>
    <t>Verificar alteração do botão "Add to Cart" para "Remove" após adicionar produto.</t>
  </si>
  <si>
    <t>Após adicionar um produto, o botão deve mudar para "Remove".</t>
  </si>
  <si>
    <t>CS13</t>
  </si>
  <si>
    <t>Verificar acesso ao carrinho através do ícone.</t>
  </si>
  <si>
    <t>Usuário é direcionado para a página Cart.</t>
  </si>
  <si>
    <t>CS14</t>
  </si>
  <si>
    <t>Verificar contador do icone de carrinho no topo da tela quando um produto é selecionado para o carrinho</t>
  </si>
  <si>
    <t>Sistema exibe um contator de produtos adicionados ao carrinhp</t>
  </si>
  <si>
    <t>CS15</t>
  </si>
  <si>
    <t>testar se o problem_user tem o bug 
proposital de imagem errada</t>
  </si>
  <si>
    <t>Cada produto deve exibir a imagem 
correspondente ao seu próprio nome e descrição</t>
  </si>
  <si>
    <t>CS16</t>
  </si>
  <si>
    <t xml:space="preserve">testar se o problem_user tem o bug ao adicionar produto ao carrinho </t>
  </si>
  <si>
    <t>Ao clicar em "add to cart" produto deve ser adicionado ao carrinho corretamente</t>
  </si>
  <si>
    <t>CS161</t>
  </si>
  <si>
    <t xml:space="preserve">testar se o problem_user tem o bug ao selecionar a ordenação (A to Z) e (Z to A) </t>
  </si>
  <si>
    <t xml:space="preserve">Ao selecionar a ordenação dos produtos por nome a ordem deve ser seguida </t>
  </si>
  <si>
    <t>CS17</t>
  </si>
  <si>
    <t>Carrinho de Compras</t>
  </si>
  <si>
    <t xml:space="preserve">Verificar se todos os produtos selecionados aparecem no carrinho </t>
  </si>
  <si>
    <t xml:space="preserve">Todos os produtos selecionados devem aparecer no carrinho </t>
  </si>
  <si>
    <t>CS18</t>
  </si>
  <si>
    <t>Verificar se todos os produtos estão com a quantidade correta no carrinho</t>
  </si>
  <si>
    <t>Sistema deve exibir a quantidade de produtos correta no carrinho</t>
  </si>
  <si>
    <t>CS19</t>
  </si>
  <si>
    <t>Verifica se a descrição do produto está sendo exibida no carrinho</t>
  </si>
  <si>
    <t>Sistema deve exibir descrição de cada produto que foi adicionado no carrinho</t>
  </si>
  <si>
    <t>CS20</t>
  </si>
  <si>
    <t>Verificar se ao clicar em "remove" o produto é retirado do carrinho</t>
  </si>
  <si>
    <t>Sistema deve remover produto do carrinho quando for clicado em "remove"</t>
  </si>
  <si>
    <t>CS21</t>
  </si>
  <si>
    <t xml:space="preserve">Verificar botão de "checkout" no  canto inferiror abaixo é clicavel </t>
  </si>
  <si>
    <t>Verificar se ao clicar em 'Checkout' o sistema 
 avança para a tela de informações do checkout</t>
  </si>
  <si>
    <t>CS22</t>
  </si>
  <si>
    <t>Verificar se ao clicar em "Continue Shopping" o usuário retorna à lista de produtos</t>
  </si>
  <si>
    <t>Sistema deve redirecionar o usuário a página de produtos</t>
  </si>
  <si>
    <t>CS23</t>
  </si>
  <si>
    <t>Verificar comportamento do carrinho sem produtos adicionados</t>
  </si>
  <si>
    <t>Borda</t>
  </si>
  <si>
    <t>Baixa</t>
  </si>
  <si>
    <t>Sistema deve exibir carrinho vazio sem erros e sem produtos listados</t>
  </si>
  <si>
    <t>CS24</t>
  </si>
  <si>
    <t>Checkout</t>
  </si>
  <si>
    <t>Verificar se prenchimento do frist name, last name e zip são validos</t>
  </si>
  <si>
    <t>Ao preencher os campos obrigótios de checkout o sistema continua</t>
  </si>
  <si>
    <t>CS25</t>
  </si>
  <si>
    <t>Verificar continuação do checkout com dados válidos.</t>
  </si>
  <si>
    <t>Sistema deve permitir avançar para Checkout Overview.</t>
  </si>
  <si>
    <t>CS26</t>
  </si>
  <si>
    <t>Verificar se o sistema continua sem o preenchimeno dos campos obrigatório</t>
  </si>
  <si>
    <t>Ao não preenchimento dos campos obrigatórios do checkout o sistema mostra mensagem "Error: First Name is required"</t>
  </si>
  <si>
    <t>CS27</t>
  </si>
  <si>
    <t>Verificar comportamento de preenchimento de campos obrigatórios no checkout em (error_user)</t>
  </si>
  <si>
    <t>O sistema deve exibir um erro quando não preenchido o last name: Error: Last Name is required</t>
  </si>
  <si>
    <t>CS28</t>
  </si>
  <si>
    <t>Verificar se ao clicar "continue" o usuário segue para a aba "Checkout: Overview"</t>
  </si>
  <si>
    <t>Sistema deve direcionar o usuário para a página de Checkout: Overview</t>
  </si>
  <si>
    <t>Cenário Vinculado</t>
  </si>
  <si>
    <t>Título</t>
  </si>
  <si>
    <t>Módulo</t>
  </si>
  <si>
    <t>Pré-condição</t>
  </si>
  <si>
    <t>Massa de Dados</t>
  </si>
  <si>
    <t>Passos</t>
  </si>
  <si>
    <t>Resultado Esperado</t>
  </si>
  <si>
    <t>Resultado Obtido</t>
  </si>
  <si>
    <t>Evidência (Link)</t>
  </si>
  <si>
    <t>Observações</t>
  </si>
  <si>
    <t>Login com credenciais válidas (standard_user)</t>
  </si>
  <si>
    <t>Autenticação</t>
  </si>
  <si>
    <t>Estar na página https://www.saucedemo.com</t>
  </si>
  <si>
    <t>Usuário: standard_user / Senha: secret_sauce</t>
  </si>
  <si>
    <t>1. Acessar a URL
2. Inserir usuário standard_user
3. Inserir senha secret_sauce
4. Clicar em Login</t>
  </si>
  <si>
    <t>Usuário é redirecionado para a página de produtos (/inventory.html)</t>
  </si>
  <si>
    <t>Usuário foi redirecionado para a página de produtos com sucesso, exibindo a listagem de 6 produtos. Comportamento conforme esperado.</t>
  </si>
  <si>
    <t>Passou</t>
  </si>
  <si>
    <t>Login com usuário bloqueado (locked_out_user)</t>
  </si>
  <si>
    <t>Usuário: locked_out_user / Senha: secret_sauce</t>
  </si>
  <si>
    <t>1. Acessar a URL
2. Inserir usuário locked_out_user
3. Inserir senha secret_sauce
4. Clicar em Login</t>
  </si>
  <si>
    <t>Sistema exibe a mensagem:
"Epic sadface: Sorry, this user has been locked out."</t>
  </si>
  <si>
    <t>Não Executado</t>
  </si>
  <si>
    <t>CT03</t>
  </si>
  <si>
    <t>Login sem preenchimento da senha</t>
  </si>
  <si>
    <r>
      <rPr>
        <rFont val="Calibri"/>
        <sz val="10.0"/>
      </rPr>
      <t xml:space="preserve">Estar na página </t>
    </r>
    <r>
      <rPr>
        <rFont val="Calibri"/>
        <color rgb="FF1155CC"/>
        <sz val="10.0"/>
        <u/>
      </rPr>
      <t>https://www.saucedemo.com</t>
    </r>
  </si>
  <si>
    <t>Usuário: standard_user / Senha: (vazio)</t>
  </si>
  <si>
    <t>1. Acessar a URL 2. Inserir usuário standard_user 3. Não inserir a senha secret_sauce 4.clicar em login</t>
  </si>
  <si>
    <t>Sistema exibe a mensagem:
"Epic sadface: Password is required"</t>
  </si>
  <si>
    <t>CT04</t>
  </si>
  <si>
    <t xml:space="preserve">Login sem preenchimento do username
</t>
  </si>
  <si>
    <r>
      <rPr>
        <rFont val="Calibri"/>
        <sz val="10.0"/>
      </rPr>
      <t xml:space="preserve">Estar na página </t>
    </r>
    <r>
      <rPr>
        <rFont val="Calibri"/>
        <color rgb="FF1155CC"/>
        <sz val="10.0"/>
        <u/>
      </rPr>
      <t>https://www.saucedemo.com</t>
    </r>
  </si>
  <si>
    <t>Usuário: (vazio)  / Senha: secret_sauce</t>
  </si>
  <si>
    <t>1. Acessar a URL 2.  Não inserir usuário standard_user 3. Inserir a senha secret_sauce 4.clicar em login</t>
  </si>
  <si>
    <t>Sistema exibe a mensagem:
"Epic sadface: Username is required"</t>
  </si>
  <si>
    <t>CT05</t>
  </si>
  <si>
    <t>Login com username e senha vazios</t>
  </si>
  <si>
    <r>
      <rPr>
        <rFont val="Calibri"/>
        <sz val="10.0"/>
      </rPr>
      <t xml:space="preserve">Estar na página </t>
    </r>
    <r>
      <rPr>
        <rFont val="Calibri"/>
        <color rgb="FF1155CC"/>
        <sz val="10.0"/>
        <u/>
      </rPr>
      <t>https://www.saucedemo.com</t>
    </r>
  </si>
  <si>
    <t>Usuário: (vazio) / Senha: (vazio)</t>
  </si>
  <si>
    <t>1. Acessar a URL 2.  Não inserir usuário standard_user 3. Não inserir a senha secret_sauce 4.clicar em login</t>
  </si>
  <si>
    <t xml:space="preserve">Sistema exibe a mensagem: "Epic sadface: Username is required"
</t>
  </si>
  <si>
    <t>CT06</t>
  </si>
  <si>
    <t>Login com credenciais invalidas</t>
  </si>
  <si>
    <r>
      <rPr>
        <rFont val="Calibri"/>
        <sz val="10.0"/>
      </rPr>
      <t xml:space="preserve">Estar na página </t>
    </r>
    <r>
      <rPr>
        <rFont val="Calibri"/>
        <color rgb="FF1155CC"/>
        <sz val="10.0"/>
        <u/>
      </rPr>
      <t>https://www.saucedemo.com</t>
    </r>
  </si>
  <si>
    <t>Usuário: usuário_falso/ Senha: senha_errada</t>
  </si>
  <si>
    <t>1. Acessar https://www.saucedemo.com 2. Inserir "usuario_falso" no campo Username 3. Inserir "senha_errada" no campo Password 4. Clicar em "Login"</t>
  </si>
  <si>
    <t>Sistema exibe a mensagem: "Epic sadface: Username and password do not match any user in this service"</t>
  </si>
  <si>
    <t>CT07</t>
  </si>
  <si>
    <t>Verificar se todos os produtos são listados corretamente</t>
  </si>
  <si>
    <t>Estar logado com standard_user</t>
  </si>
  <si>
    <t>1. Fazer login com usuário standard_user 2. Acessar a aba de produtos  3. Contar e verificar quantos produtos estão listados</t>
  </si>
  <si>
    <t>6 produtos exibidos: Sauce Labs Backpack, Bike Light, Bolt T-Shirt, Fleece Jacket, Onesie, Test.allTheThings T-Shirt</t>
  </si>
  <si>
    <t>CT08</t>
  </si>
  <si>
    <t>Verificar se todos os produtos exibem preço</t>
  </si>
  <si>
    <t>1. Fazer login com usuário standard_user 2. Acessar a aba de produtos  3. Verificar se cada produto exibe o preço visivelmente</t>
  </si>
  <si>
    <t>Todos os 6 produtos exibem preço no formato $XX.XX</t>
  </si>
  <si>
    <t>CT09</t>
  </si>
  <si>
    <t>Ordenação A to Z</t>
  </si>
  <si>
    <t>1. Fazer login com standard_user 2. No filtro de ordenação, selecionar "Name (A to Z)" 3. Observar a ordem dos produtos listados</t>
  </si>
  <si>
    <t>Produtos ordenados alfabeticamente: Sauce Labs Backpack → Bike Light → Bolt T-Shirt → Fleece Jacket → Onesie → Test.allTheThings T-Shirt</t>
  </si>
  <si>
    <t>CT10</t>
  </si>
  <si>
    <t>Verificar se produto é adicionado ao carrinho ao clicar em "add to cart"</t>
  </si>
  <si>
    <t>1. Fazer login com standard_user 2. Clicar em "Add to cart" no produto "Sauce Labs Backpack" 3. Observar o ícone do carrinho no topo</t>
  </si>
  <si>
    <t>Produto adicionado ao carrinho e contador do ícone atualizado para "1"</t>
  </si>
  <si>
    <t>CT11</t>
  </si>
  <si>
    <t>Verificar ordenação de produtos por preço (low to high)</t>
  </si>
  <si>
    <t>1. Fazer login com standard_user 2. No filtro de ordenação, selecionar "Price(Low to high)" 3. Observar a ordem dos produtos listados</t>
  </si>
  <si>
    <t>Produtos ordenados do menor para o maior preço: $7.99 → $9.99 → $15.99 → $29.99 → $49.99 → $49.99</t>
  </si>
  <si>
    <t>CT12</t>
  </si>
  <si>
    <t>Verificar se a página de detalhe do produto exibem descrição, preço e imagem</t>
  </si>
  <si>
    <t>Página exibe imagem do produto, nome, descrição e preço corretamente</t>
  </si>
  <si>
    <t>CT13</t>
  </si>
  <si>
    <t>Verificar se botão "add to cart" muda para "romove" após adicionar produto</t>
  </si>
  <si>
    <t>1. Fazer login com standard_user 2. Clicar em "Add to cart" no produto "Sauce Labs Backpack" 3. Observar o botão do mesmo produto</t>
  </si>
  <si>
    <t>Botão muda de "add to cart" para "remove"</t>
  </si>
  <si>
    <t>CT14</t>
  </si>
  <si>
    <t xml:space="preserve">Verificar acesso ao carrinho pelo icone ao topo da página </t>
  </si>
  <si>
    <t>1. Fazer login com standard_user 2. Clicar no ícone de carrinho no topo da págin</t>
  </si>
  <si>
    <t>Usuário é redirecionado para a página do carrinho</t>
  </si>
  <si>
    <t>CT15</t>
  </si>
  <si>
    <t>Verificar se o contator do carrinho atualiza quando um produto é adicionado</t>
  </si>
  <si>
    <t>1. Fazer login com standard_user 2. Observar ícone do carrinho (sem número) 3. Clicar em "Add to cart" em qualquer produto 4. Observar ícone do carrinho novamente</t>
  </si>
  <si>
    <t>Contador do icone exibe "1" após adicionar produto</t>
  </si>
  <si>
    <t>CT16</t>
  </si>
  <si>
    <t>Verificar bug de imagens incorretas no problem_user</t>
  </si>
  <si>
    <t>Estar logado com problem_user</t>
  </si>
  <si>
    <t>Usuário: problem_user / Senha: secret_sauce</t>
  </si>
  <si>
    <t>1. Fazer login com problem_user  2. Observar imagem de cada produto da listagem 3. Comparar com o nome e  descrição do produto</t>
  </si>
  <si>
    <t>Cada produto exibe sua propria imagem correspondente</t>
  </si>
  <si>
    <t>CT17</t>
  </si>
  <si>
    <t>Verificar bug no carrinho ao adicionar produto no problem_user</t>
  </si>
  <si>
    <t>1. Fazer login com problem_user  2. Clicar em "add to cart" em qualquer produto 3. Verificar se o produto foi adicionado ao carrinho</t>
  </si>
  <si>
    <t xml:space="preserve">Produto adicionado ao carrinho e contador  atualizado </t>
  </si>
  <si>
    <t>CT18</t>
  </si>
  <si>
    <t>Verificar bug de ordenação por nome no problem_user</t>
  </si>
  <si>
    <t>1. Fazer login com problem_user 2. Selecionar filtro "Name (A to Z)" 3. Observar a ordem dos produtos 4. Selecionar filtro "Name (Z to A)" 5. Observar a ordem dos produtos</t>
  </si>
  <si>
    <t>Produtos ordenados corretamente em ambas as direções</t>
  </si>
  <si>
    <t>CT19</t>
  </si>
  <si>
    <t>Verificar se produto adicionado aparece corretamente na página do carrinh</t>
  </si>
  <si>
    <t>Carrinho</t>
  </si>
  <si>
    <t xml:space="preserve">1. Fazer login com standard_user 2. Adicionar "Sauce Labs Backpack" ao carrinho 3. Clicar eno icone do carrinho  4. Observar dados do produto exibido </t>
  </si>
  <si>
    <t>Página do carrinho exibe nome, descrição, preço e quantidade(1) do produto</t>
  </si>
  <si>
    <t>CT20</t>
  </si>
  <si>
    <t>Verificar se múltiplos produtos são listados corretamente no carrinho</t>
  </si>
  <si>
    <t>1. Fazer login com standard_user 2. Adicionar 3 produtos diferentes ao carrinho 3. Clicar eno icone do carrinho  4. Observar a lista de produtos</t>
  </si>
  <si>
    <t>Os 3 produtos selecionados aparecem listados corretamente no carrinho, com o contador 3 no icone.</t>
  </si>
  <si>
    <t>CT21</t>
  </si>
  <si>
    <t>Verificar se produto é removido corretamente do carrinho</t>
  </si>
  <si>
    <t>1. Fazer login com standard_user 2. Adicionar "Sauce Labs Backpack" ao carrinho 3. Ir até a página do carrinho 4. Clicar em "Remove" no produto</t>
  </si>
  <si>
    <t>Produto é removido da lista e contador do ícone volta a ficar vazio (0)</t>
  </si>
  <si>
    <t>CT22</t>
  </si>
  <si>
    <t>Verificar comportamento da página de carrinho quando nenhum produto foi adicionado</t>
  </si>
  <si>
    <t>1. Fazer login com standard_user 2. Sem adicionar nenhum produto, clicar no ícone do carrinho</t>
  </si>
  <si>
    <t>Página do carrinho é exibida vazia, sem produtos listados e sem erro no sistema</t>
  </si>
  <si>
    <t>CT23</t>
  </si>
  <si>
    <t>Verificar se botão "Continue Shopping" retorna à página de produtos</t>
  </si>
  <si>
    <t>1. Fazer login com standard_user 2. Ir até a página do carrinho 3. Clicar em "Continue Shopping"</t>
  </si>
  <si>
    <t>Usuário é redirecionado de volta para a página de produtos</t>
  </si>
  <si>
    <t>CT24</t>
  </si>
  <si>
    <t xml:space="preserve">Verificar se o botão "Checkout" inicia o fluxo de finalização de compra </t>
  </si>
  <si>
    <t>1. Fazer login com standard_user 2. Adicionar 1 produto ao carrinho 3. CIr até a página do carrinho 4. Clicar em "checkout"</t>
  </si>
  <si>
    <t>Usuário é redirecionado para a página de informações de checkout</t>
  </si>
  <si>
    <t>CT25</t>
  </si>
  <si>
    <t>Verificar avanço no checkout ao preencher First Name, Last Name e Zip Code corretamente</t>
  </si>
  <si>
    <t>Estar logado com standard_user, ter 1 produto no carrinho e estar na página checkout-step-one</t>
  </si>
  <si>
    <t>First Name: Valesca / Last Name: Silva / Zip Code: 97000-000</t>
  </si>
  <si>
    <t>1. Acessar checkout com produto no carrinho 2. Preencher First Name 3. Preencher Last Name 4. Preencher Zip Code 5. Clicar em "Continue"</t>
  </si>
  <si>
    <t>Usuário avança para checkout-step-two.html, exibindo resumo do pedido</t>
  </si>
  <si>
    <t>CT26</t>
  </si>
  <si>
    <t>Verificar mensagem de erro ao tentar avançar checkout sem preencher First Name</t>
  </si>
  <si>
    <t>Estar na página checkout-step-one com produto no carrinho</t>
  </si>
  <si>
    <t>First Name: (vazio) / Last Name: Silva / Zip Code: 97000-000</t>
  </si>
  <si>
    <t>1. Acessar checkout 2. Deixar First Name vazio 3. Preencher Last Name e Zip Code 4. Clicar em "Continue"</t>
  </si>
  <si>
    <t>Sistema exibe mensagem: "Error: First Name is required" e não avança para próxima etapa</t>
  </si>
  <si>
    <t>CT27</t>
  </si>
  <si>
    <t>Verificar mensagem de erro ao tentar avançar checkout sem preencher Last Name</t>
  </si>
  <si>
    <t>First Name: Valesca / Last Name: (vazio) / Zip Code: 97000-000</t>
  </si>
  <si>
    <t>1. Acessar checkout 2. Preencher First Name 3. Deixar Last Name vazio 4. Preencher Zip Code 5. Clicar em "Continue"</t>
  </si>
  <si>
    <t>Sistema exibe mensagem: "Error: Last Name is required" e não avança para próxima etapa</t>
  </si>
  <si>
    <t>CT28</t>
  </si>
  <si>
    <t>Verificar mensagem de erro ao tentar avançar checkout sem preencher Zip Code</t>
  </si>
  <si>
    <t>First Name: Valesca / Last Name: Silva / Zip Code: (vazio)</t>
  </si>
  <si>
    <t>1. Acessar checkout 2. Preencher First Name e Last Name 3. Deixar Zip Code vazio 4. Clicar em "Continue"</t>
  </si>
  <si>
    <t>Sistema exibe mensagem: "Error: Postal Code is required" e não avança para próxima etapa</t>
  </si>
  <si>
    <t>CT29</t>
  </si>
  <si>
    <t>Verificar se resumo do pedido exibe item, preço, subtotal, tax e total corretos</t>
  </si>
  <si>
    <t>Ter completado checkout-step-one com sucesso</t>
  </si>
  <si>
    <t>Produto: Sauce Labs Backpack ($29.99)</t>
  </si>
  <si>
    <t>1. Avançar do checkout-step-one para checkout-step-two 2. Observar item listado 3. Verificar Item total, Tax e Total</t>
  </si>
  <si>
    <t>Resumo exibe nome e preço do produto, Item total = $29.99, Tax calculado corretamente, Total = Item total + Tax</t>
  </si>
  <si>
    <t>CT30</t>
  </si>
  <si>
    <t>CS29</t>
  </si>
  <si>
    <t>Verificar finalização completa da compra ao clicar em "Finish"</t>
  </si>
  <si>
    <t>Estar na página checkout-step-two</t>
  </si>
  <si>
    <t>1. Estar na página de resumo do pedido (checkout-step-two) 2. Clicar em "Finish"</t>
  </si>
  <si>
    <t>Usuário é redirecionado para checkout-complete.html exibindo mensagem "Thank you for your order!"</t>
  </si>
  <si>
    <t>CT31</t>
  </si>
  <si>
    <t>CS30</t>
  </si>
  <si>
    <t>Verificar se botão "Cancel" no checkout retorna para página anterior corretamente</t>
  </si>
  <si>
    <t>Estar na página checkout-step-one ou checkout-step-two</t>
  </si>
  <si>
    <t>1. Acessar checkout-step-one 2. Clicar em "Cancel" 3. Repetir o teste a partir de checkout-step-two</t>
  </si>
  <si>
    <t>A partir do step-one, retorna ao carrinho (cart.html). A partir do step-two, retorna à página de produtos (inventory.html)</t>
  </si>
  <si>
    <t>Ambiente</t>
  </si>
  <si>
    <t>Severidade</t>
  </si>
  <si>
    <t>Caso de Teste Relacionado</t>
  </si>
  <si>
    <t>Passos para Reproduzir</t>
  </si>
  <si>
    <t>Data Abertura</t>
  </si>
  <si>
    <t>Data Fechamento</t>
  </si>
  <si>
    <t>BUG01</t>
  </si>
  <si>
    <t>Ordenação por preço (Z a A) não funciona corretamente para o usuário problem_user</t>
  </si>
  <si>
    <t>Sauce Demo (Produção) | Chrome | problem_user</t>
  </si>
  <si>
    <t>Médio</t>
  </si>
  <si>
    <t>1. Logar com problem_user
2. Na lista de produtos, selecionar filtro 'Price (high to low)'
3. Observar a ordem dos produtos</t>
  </si>
  <si>
    <t>A lista não muda de ordem mesmo após selecionar o filtro</t>
  </si>
  <si>
    <t>A lista deveria reordenar do produto mais caro para o mais barato</t>
  </si>
  <si>
    <t>Novo</t>
  </si>
  <si>
    <t>[Seu nome]</t>
  </si>
  <si>
    <t>Categoria</t>
  </si>
  <si>
    <t>Dado</t>
  </si>
  <si>
    <t>Valor</t>
  </si>
  <si>
    <t>Descrição / Uso</t>
  </si>
  <si>
    <t>Usuário</t>
  </si>
  <si>
    <t>Padrão (sem bugs)</t>
  </si>
  <si>
    <t>standard_user / secret_sauce</t>
  </si>
  <si>
    <t>Usar como caminho feliz / referência de comportamento esperado</t>
  </si>
  <si>
    <t>Bloqueado</t>
  </si>
  <si>
    <t>locked_out_user / secret_sauce</t>
  </si>
  <si>
    <t>Testar mensagem de erro de conta bloqueada</t>
  </si>
  <si>
    <t>Com bugs de interface</t>
  </si>
  <si>
    <t>problem_user / secret_sauce</t>
  </si>
  <si>
    <t>Usar para encontrar bugs visuais e de comportamento</t>
  </si>
  <si>
    <t>Lento</t>
  </si>
  <si>
    <t>performance_glitch_user / secret_sauce</t>
  </si>
  <si>
    <t>Usar para observar tempo de resposta</t>
  </si>
  <si>
    <t>Cartão (Checkout)</t>
  </si>
  <si>
    <t>Dados fictícios</t>
  </si>
  <si>
    <t>Qualquer nome, CEP e Postal Code</t>
  </si>
  <si>
    <t>Checkout do Sauce Demo não valida dados reais de pagamento</t>
  </si>
  <si>
    <t>RELATÓRIO FINAL DE TESTES</t>
  </si>
  <si>
    <t>EXECUÇÃO DOS CASOS DE TESTE</t>
  </si>
  <si>
    <t>Total de Casos de Teste</t>
  </si>
  <si>
    <t>Executados (Passou + Falhou + Bloqueado)</t>
  </si>
  <si>
    <t>Falhou</t>
  </si>
  <si>
    <t>Taxa de Aprovação (Passou / Executados)</t>
  </si>
  <si>
    <t>BUGS ENCONTRADOS</t>
  </si>
  <si>
    <t>Total de Bugs</t>
  </si>
  <si>
    <t>Críticos</t>
  </si>
  <si>
    <t>Altos</t>
  </si>
  <si>
    <t>Médios</t>
  </si>
  <si>
    <t>Baixos</t>
  </si>
  <si>
    <t>Abertos (Novo + Em Correção + Em Reteste + Reaberto)</t>
  </si>
  <si>
    <t>Fechados</t>
  </si>
  <si>
    <t>CENÁRIOS DE TESTE</t>
  </si>
  <si>
    <t>Total de Cenários</t>
  </si>
  <si>
    <t>Concluídos</t>
  </si>
  <si>
    <t>PARECER FINAL</t>
  </si>
  <si>
    <t>Parecer (preencher manualmente)</t>
  </si>
  <si>
    <t>[ APROVADO / REPROVADO ]</t>
  </si>
  <si>
    <t>Justificativa / Observações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</si>
</sst>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6">
    <font>
      <sz val="11.0"/>
      <color theme="1"/>
      <name val="Calibri"/>
      <scheme val="minor"/>
    </font>
    <font>
      <b/>
      <sz val="16.0"/>
      <color rgb="FF1F4E78"/>
      <name val="Calibri"/>
    </font>
    <font>
      <i/>
      <sz val="11.0"/>
      <color rgb="FF666666"/>
      <name val="Calibri"/>
    </font>
    <font>
      <sz val="10.0"/>
      <color theme="1"/>
      <name val="Calibri"/>
    </font>
    <font>
      <b/>
      <sz val="12.0"/>
      <color rgb="FF1F4E78"/>
      <name val="Calibri"/>
    </font>
    <font>
      <b/>
      <sz val="14.0"/>
      <color rgb="FF1F4E78"/>
      <name val="Calibri"/>
    </font>
    <font>
      <b/>
      <sz val="10.0"/>
      <color theme="1"/>
      <name val="Calibri"/>
    </font>
    <font>
      <b/>
      <sz val="11.0"/>
      <color rgb="FFFFFFFF"/>
      <name val="Calibri"/>
    </font>
    <font>
      <sz val="10.0"/>
      <color theme="1"/>
      <name val="Calibri"/>
      <scheme val="minor"/>
    </font>
    <font>
      <color theme="1"/>
      <name val="Calibri"/>
      <scheme val="minor"/>
    </font>
    <font>
      <u/>
      <sz val="10.0"/>
      <color rgb="FF0000FF"/>
      <name val="Calibri"/>
    </font>
    <font>
      <b/>
      <sz val="12.0"/>
      <color rgb="FFFFFFFF"/>
      <name val="Calibri"/>
    </font>
    <font/>
    <font>
      <b/>
      <sz val="10.0"/>
      <color rgb="FF1F4E78"/>
      <name val="Calibri"/>
    </font>
    <font>
      <sz val="11.0"/>
      <color theme="1"/>
      <name val="Calibri"/>
    </font>
    <font>
      <b/>
      <i/>
      <sz val="10.0"/>
      <color rgb="FF888888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/>
      <top/>
      <bottom/>
    </border>
    <border>
      <top/>
      <bottom/>
    </border>
    <border>
      <right/>
      <top/>
      <bottom/>
    </border>
    <border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3" numFmtId="164" xfId="0" applyAlignment="1" applyBorder="1" applyFont="1" applyNumberFormat="1">
      <alignment readingOrder="0" shrinkToFit="0" vertical="top" wrapText="1"/>
    </xf>
    <xf borderId="1" fillId="0" fontId="7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left" readingOrder="0" vertical="center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0"/>
    </xf>
    <xf borderId="0" fillId="0" fontId="9" numFmtId="0" xfId="0" applyFont="1"/>
    <xf borderId="1" fillId="3" fontId="7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3" fillId="0" fontId="3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0" fillId="0" fontId="8" numFmtId="0" xfId="0" applyAlignment="1" applyFont="1">
      <alignment horizontal="left" readingOrder="0" vertical="top"/>
    </xf>
    <xf borderId="0" fillId="0" fontId="8" numFmtId="0" xfId="0" applyAlignment="1" applyFont="1">
      <alignment readingOrder="0" shrinkToFit="0" vertical="top" wrapText="1"/>
    </xf>
    <xf borderId="1" fillId="4" fontId="3" numFmtId="0" xfId="0" applyAlignment="1" applyBorder="1" applyFill="1" applyFont="1">
      <alignment shrinkToFit="0" vertical="top" wrapText="0"/>
    </xf>
    <xf borderId="1" fillId="4" fontId="3" numFmtId="0" xfId="0" applyAlignment="1" applyBorder="1" applyFont="1">
      <alignment shrinkToFit="0" vertical="top" wrapText="1"/>
    </xf>
    <xf borderId="5" fillId="3" fontId="11" numFmtId="0" xfId="0" applyAlignment="1" applyBorder="1" applyFont="1">
      <alignment horizontal="left" shrinkToFit="0" vertical="center" wrapText="0"/>
    </xf>
    <xf borderId="6" fillId="0" fontId="12" numFmtId="0" xfId="0" applyBorder="1" applyFont="1"/>
    <xf borderId="7" fillId="0" fontId="12" numFmtId="0" xfId="0" applyBorder="1" applyFont="1"/>
    <xf borderId="1" fillId="0" fontId="3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horizontal="center" shrinkToFit="0" vertical="bottom" wrapText="0"/>
    </xf>
    <xf borderId="1" fillId="0" fontId="14" numFmtId="0" xfId="0" applyAlignment="1" applyBorder="1" applyFont="1">
      <alignment shrinkToFit="0" vertical="bottom" wrapText="0"/>
    </xf>
    <xf borderId="1" fillId="0" fontId="13" numFmtId="165" xfId="0" applyAlignment="1" applyBorder="1" applyFont="1" applyNumberFormat="1">
      <alignment horizontal="center" shrinkToFit="0" vertical="bottom" wrapText="0"/>
    </xf>
    <xf borderId="1" fillId="0" fontId="15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shrinkToFit="0" vertical="top" wrapText="1"/>
    </xf>
    <xf borderId="8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95.0"/>
    <col customWidth="1" min="3" max="26" width="8.71"/>
  </cols>
  <sheetData>
    <row r="2">
      <c r="B2" s="1" t="s">
        <v>0</v>
      </c>
    </row>
    <row r="3">
      <c r="B3" s="2" t="s">
        <v>1</v>
      </c>
    </row>
    <row r="5">
      <c r="B5" s="3"/>
    </row>
    <row r="6" ht="19.5" customHeight="1">
      <c r="B6" s="4" t="s">
        <v>2</v>
      </c>
    </row>
    <row r="7">
      <c r="B7" s="3" t="s">
        <v>3</v>
      </c>
    </row>
    <row r="8">
      <c r="B8" s="3" t="s">
        <v>4</v>
      </c>
    </row>
    <row r="9">
      <c r="B9" s="3" t="s">
        <v>5</v>
      </c>
    </row>
    <row r="10">
      <c r="B10" s="3" t="s">
        <v>6</v>
      </c>
    </row>
    <row r="11">
      <c r="B11" s="3" t="s">
        <v>7</v>
      </c>
    </row>
    <row r="12">
      <c r="B12" s="3" t="s">
        <v>8</v>
      </c>
    </row>
    <row r="13">
      <c r="B13" s="3" t="s">
        <v>9</v>
      </c>
    </row>
    <row r="14">
      <c r="B14" s="3"/>
    </row>
    <row r="15" ht="19.5" customHeight="1">
      <c r="B15" s="4" t="s">
        <v>10</v>
      </c>
    </row>
    <row r="16">
      <c r="B16" s="3" t="s">
        <v>11</v>
      </c>
    </row>
    <row r="17">
      <c r="B17" s="3" t="s">
        <v>12</v>
      </c>
    </row>
    <row r="18">
      <c r="B18" s="3"/>
    </row>
    <row r="19" ht="19.5" customHeight="1">
      <c r="B19" s="4" t="s">
        <v>13</v>
      </c>
    </row>
    <row r="20">
      <c r="B20" s="3" t="s">
        <v>14</v>
      </c>
    </row>
    <row r="21" ht="15.75" customHeight="1">
      <c r="B21" s="3" t="s">
        <v>15</v>
      </c>
    </row>
    <row r="22" ht="15.75" customHeight="1">
      <c r="B22" s="3" t="s">
        <v>16</v>
      </c>
    </row>
    <row r="23" ht="15.75" customHeight="1">
      <c r="B23" s="3" t="s">
        <v>17</v>
      </c>
    </row>
    <row r="24" ht="15.75" customHeight="1">
      <c r="B24" s="3" t="s">
        <v>18</v>
      </c>
    </row>
    <row r="25" ht="15.75" customHeight="1">
      <c r="B25" s="3" t="s">
        <v>19</v>
      </c>
    </row>
    <row r="26" ht="15.75" customHeight="1">
      <c r="B26" s="3"/>
    </row>
    <row r="27" ht="19.5" customHeight="1">
      <c r="B27" s="4" t="s">
        <v>20</v>
      </c>
    </row>
    <row r="28" ht="15.75" customHeight="1">
      <c r="B28" s="3" t="s">
        <v>21</v>
      </c>
    </row>
    <row r="29" ht="15.75" customHeight="1">
      <c r="B29" s="3" t="s">
        <v>22</v>
      </c>
    </row>
    <row r="30" ht="15.75" customHeight="1">
      <c r="B30" s="3" t="s">
        <v>23</v>
      </c>
    </row>
    <row r="31" ht="15.75" customHeight="1">
      <c r="B31" s="3" t="s">
        <v>24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80.0"/>
    <col customWidth="1" min="3" max="26" width="8.71"/>
  </cols>
  <sheetData>
    <row r="1">
      <c r="A1" s="5" t="s">
        <v>25</v>
      </c>
    </row>
    <row r="3" ht="27.75" customHeight="1">
      <c r="A3" s="6" t="s">
        <v>26</v>
      </c>
      <c r="B3" s="7" t="s">
        <v>27</v>
      </c>
    </row>
    <row r="4" ht="27.75" customHeight="1">
      <c r="A4" s="6" t="s">
        <v>28</v>
      </c>
      <c r="B4" s="8" t="s">
        <v>29</v>
      </c>
    </row>
    <row r="5" ht="27.75" customHeight="1">
      <c r="A5" s="6" t="s">
        <v>30</v>
      </c>
      <c r="B5" s="9">
        <v>46189.0</v>
      </c>
    </row>
    <row r="6" ht="27.75" customHeight="1">
      <c r="A6" s="6" t="s">
        <v>31</v>
      </c>
      <c r="B6" s="9">
        <v>46189.0</v>
      </c>
    </row>
    <row r="7" ht="27.75" customHeight="1">
      <c r="A7" s="6" t="s">
        <v>32</v>
      </c>
      <c r="B7" s="7" t="s">
        <v>33</v>
      </c>
    </row>
    <row r="8" ht="42.0" customHeight="1">
      <c r="A8" s="6" t="s">
        <v>34</v>
      </c>
      <c r="B8" s="7" t="s">
        <v>35</v>
      </c>
    </row>
    <row r="9" ht="42.0" customHeight="1">
      <c r="A9" s="6" t="s">
        <v>36</v>
      </c>
      <c r="B9" s="7" t="s">
        <v>37</v>
      </c>
    </row>
    <row r="10" ht="27.75" customHeight="1">
      <c r="A10" s="6" t="s">
        <v>38</v>
      </c>
      <c r="B10" s="7" t="s">
        <v>39</v>
      </c>
    </row>
    <row r="11" ht="27.75" customHeight="1">
      <c r="A11" s="6" t="s">
        <v>40</v>
      </c>
      <c r="B11" s="7" t="s">
        <v>41</v>
      </c>
    </row>
    <row r="12" ht="27.75" customHeight="1">
      <c r="A12" s="6" t="s">
        <v>42</v>
      </c>
      <c r="B12" s="7" t="s">
        <v>43</v>
      </c>
    </row>
    <row r="13" ht="27.75" customHeight="1">
      <c r="A13" s="6" t="s">
        <v>44</v>
      </c>
      <c r="B13" s="7" t="s">
        <v>45</v>
      </c>
    </row>
    <row r="14" ht="27.75" customHeight="1">
      <c r="A14" s="6" t="s">
        <v>46</v>
      </c>
      <c r="B14" s="7" t="s">
        <v>47</v>
      </c>
    </row>
    <row r="15" ht="27.75" customHeight="1">
      <c r="A15" s="6" t="s">
        <v>48</v>
      </c>
      <c r="B15" s="7" t="s">
        <v>49</v>
      </c>
    </row>
    <row r="16" ht="27.75" customHeight="1">
      <c r="A16" s="6" t="s">
        <v>50</v>
      </c>
      <c r="B16" s="7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45.0"/>
    <col customWidth="1" min="4" max="5" width="12.0"/>
    <col customWidth="1" min="6" max="6" width="32.0"/>
    <col customWidth="1" min="7" max="7" width="20.0"/>
    <col customWidth="1" min="8" max="8" width="16.0"/>
    <col customWidth="1" min="9" max="26" width="8.71"/>
  </cols>
  <sheetData>
    <row r="1">
      <c r="A1" s="10" t="s">
        <v>52</v>
      </c>
      <c r="B1" s="10" t="s">
        <v>53</v>
      </c>
      <c r="C1" s="10" t="s">
        <v>54</v>
      </c>
      <c r="D1" s="10" t="s">
        <v>55</v>
      </c>
      <c r="E1" s="10" t="s">
        <v>56</v>
      </c>
      <c r="F1" s="10" t="s">
        <v>57</v>
      </c>
      <c r="G1" s="10" t="s">
        <v>58</v>
      </c>
      <c r="H1" s="10" t="s">
        <v>59</v>
      </c>
    </row>
    <row r="2" ht="30.0" customHeight="1">
      <c r="A2" s="11" t="s">
        <v>60</v>
      </c>
      <c r="B2" s="11" t="s">
        <v>61</v>
      </c>
      <c r="C2" s="7" t="s">
        <v>62</v>
      </c>
      <c r="D2" s="11" t="s">
        <v>63</v>
      </c>
      <c r="E2" s="11" t="s">
        <v>64</v>
      </c>
      <c r="F2" s="7" t="s">
        <v>65</v>
      </c>
      <c r="G2" s="11" t="s">
        <v>66</v>
      </c>
      <c r="H2" s="12" t="s">
        <v>67</v>
      </c>
    </row>
    <row r="3" ht="30.0" customHeight="1">
      <c r="A3" s="11" t="s">
        <v>68</v>
      </c>
      <c r="B3" s="11" t="s">
        <v>61</v>
      </c>
      <c r="C3" s="7" t="s">
        <v>69</v>
      </c>
      <c r="D3" s="11" t="s">
        <v>70</v>
      </c>
      <c r="E3" s="11" t="s">
        <v>64</v>
      </c>
      <c r="F3" s="7" t="s">
        <v>71</v>
      </c>
      <c r="G3" s="11" t="s">
        <v>72</v>
      </c>
      <c r="H3" s="12" t="s">
        <v>67</v>
      </c>
    </row>
    <row r="4">
      <c r="A4" s="12" t="s">
        <v>73</v>
      </c>
      <c r="B4" s="12" t="s">
        <v>61</v>
      </c>
      <c r="C4" s="8" t="s">
        <v>74</v>
      </c>
      <c r="D4" s="12" t="s">
        <v>70</v>
      </c>
      <c r="E4" s="12" t="s">
        <v>64</v>
      </c>
      <c r="F4" s="8" t="s">
        <v>75</v>
      </c>
      <c r="G4" s="11"/>
      <c r="H4" s="12" t="s">
        <v>67</v>
      </c>
    </row>
    <row r="5">
      <c r="A5" s="12" t="s">
        <v>76</v>
      </c>
      <c r="B5" s="12" t="s">
        <v>61</v>
      </c>
      <c r="C5" s="8" t="s">
        <v>77</v>
      </c>
      <c r="D5" s="12" t="s">
        <v>70</v>
      </c>
      <c r="E5" s="12" t="s">
        <v>64</v>
      </c>
      <c r="F5" s="8" t="s">
        <v>78</v>
      </c>
      <c r="G5" s="11"/>
      <c r="H5" s="12" t="s">
        <v>67</v>
      </c>
    </row>
    <row r="6">
      <c r="A6" s="12" t="s">
        <v>79</v>
      </c>
      <c r="B6" s="12" t="s">
        <v>61</v>
      </c>
      <c r="C6" s="8" t="s">
        <v>80</v>
      </c>
      <c r="D6" s="12" t="s">
        <v>70</v>
      </c>
      <c r="E6" s="12" t="s">
        <v>64</v>
      </c>
      <c r="F6" s="8" t="s">
        <v>78</v>
      </c>
      <c r="G6" s="11"/>
      <c r="H6" s="11"/>
    </row>
    <row r="7">
      <c r="A7" s="12" t="s">
        <v>81</v>
      </c>
      <c r="B7" s="12" t="s">
        <v>61</v>
      </c>
      <c r="C7" s="8" t="s">
        <v>82</v>
      </c>
      <c r="D7" s="12" t="s">
        <v>70</v>
      </c>
      <c r="E7" s="12" t="s">
        <v>64</v>
      </c>
      <c r="F7" s="8" t="s">
        <v>83</v>
      </c>
      <c r="G7" s="11"/>
      <c r="H7" s="11"/>
    </row>
    <row r="8">
      <c r="A8" s="12" t="s">
        <v>84</v>
      </c>
      <c r="B8" s="12" t="s">
        <v>85</v>
      </c>
      <c r="C8" s="8" t="s">
        <v>86</v>
      </c>
      <c r="D8" s="12" t="s">
        <v>63</v>
      </c>
      <c r="E8" s="12" t="s">
        <v>87</v>
      </c>
      <c r="F8" s="8" t="s">
        <v>88</v>
      </c>
      <c r="G8" s="11"/>
      <c r="H8" s="11"/>
    </row>
    <row r="9">
      <c r="A9" s="12" t="s">
        <v>89</v>
      </c>
      <c r="B9" s="12" t="s">
        <v>85</v>
      </c>
      <c r="C9" s="8" t="s">
        <v>90</v>
      </c>
      <c r="D9" s="12" t="s">
        <v>63</v>
      </c>
      <c r="E9" s="12" t="s">
        <v>64</v>
      </c>
      <c r="F9" s="8" t="s">
        <v>91</v>
      </c>
      <c r="G9" s="11"/>
      <c r="H9" s="11"/>
    </row>
    <row r="10" ht="40.5" customHeight="1">
      <c r="A10" s="12" t="s">
        <v>92</v>
      </c>
      <c r="B10" s="12" t="s">
        <v>85</v>
      </c>
      <c r="C10" s="8" t="s">
        <v>93</v>
      </c>
      <c r="D10" s="12" t="s">
        <v>63</v>
      </c>
      <c r="E10" s="12" t="s">
        <v>87</v>
      </c>
      <c r="F10" s="8" t="s">
        <v>94</v>
      </c>
      <c r="G10" s="11"/>
      <c r="H10" s="11"/>
    </row>
    <row r="11" ht="26.25" customHeight="1">
      <c r="A11" s="12" t="s">
        <v>95</v>
      </c>
      <c r="B11" s="12"/>
      <c r="C11" s="13" t="s">
        <v>96</v>
      </c>
      <c r="D11" s="12" t="s">
        <v>63</v>
      </c>
      <c r="E11" s="12" t="s">
        <v>64</v>
      </c>
      <c r="F11" s="8" t="s">
        <v>97</v>
      </c>
      <c r="G11" s="11"/>
      <c r="H11" s="11"/>
    </row>
    <row r="12">
      <c r="A12" s="12" t="s">
        <v>98</v>
      </c>
      <c r="B12" s="12" t="s">
        <v>85</v>
      </c>
      <c r="C12" s="8" t="s">
        <v>99</v>
      </c>
      <c r="D12" s="12" t="s">
        <v>63</v>
      </c>
      <c r="E12" s="12" t="s">
        <v>87</v>
      </c>
      <c r="F12" s="8" t="s">
        <v>100</v>
      </c>
      <c r="G12" s="11"/>
      <c r="H12" s="11"/>
    </row>
    <row r="13">
      <c r="A13" s="12" t="s">
        <v>101</v>
      </c>
      <c r="B13" s="12" t="s">
        <v>85</v>
      </c>
      <c r="C13" s="8" t="s">
        <v>102</v>
      </c>
      <c r="D13" s="12" t="s">
        <v>63</v>
      </c>
      <c r="E13" s="12" t="s">
        <v>64</v>
      </c>
      <c r="F13" s="8" t="s">
        <v>103</v>
      </c>
      <c r="G13" s="11"/>
      <c r="H13" s="11"/>
    </row>
    <row r="14">
      <c r="A14" s="12" t="s">
        <v>104</v>
      </c>
      <c r="B14" s="12" t="s">
        <v>85</v>
      </c>
      <c r="C14" s="8" t="s">
        <v>105</v>
      </c>
      <c r="D14" s="12" t="s">
        <v>63</v>
      </c>
      <c r="E14" s="12" t="s">
        <v>64</v>
      </c>
      <c r="F14" s="8" t="s">
        <v>106</v>
      </c>
      <c r="G14" s="11"/>
      <c r="H14" s="11"/>
    </row>
    <row r="15">
      <c r="A15" s="12" t="s">
        <v>107</v>
      </c>
      <c r="B15" s="12" t="s">
        <v>85</v>
      </c>
      <c r="C15" s="8" t="s">
        <v>108</v>
      </c>
      <c r="D15" s="12" t="s">
        <v>63</v>
      </c>
      <c r="E15" s="12" t="s">
        <v>64</v>
      </c>
      <c r="F15" s="8" t="s">
        <v>109</v>
      </c>
      <c r="G15" s="11"/>
      <c r="H15" s="11"/>
    </row>
    <row r="16">
      <c r="A16" s="12" t="s">
        <v>110</v>
      </c>
      <c r="B16" s="12" t="s">
        <v>85</v>
      </c>
      <c r="C16" s="8" t="s">
        <v>111</v>
      </c>
      <c r="D16" s="12" t="s">
        <v>63</v>
      </c>
      <c r="E16" s="12" t="s">
        <v>64</v>
      </c>
      <c r="F16" s="8" t="s">
        <v>112</v>
      </c>
      <c r="G16" s="11"/>
      <c r="H16" s="11"/>
    </row>
    <row r="17">
      <c r="A17" s="12" t="s">
        <v>113</v>
      </c>
      <c r="B17" s="8" t="s">
        <v>85</v>
      </c>
      <c r="C17" s="8" t="s">
        <v>114</v>
      </c>
      <c r="D17" s="12" t="s">
        <v>63</v>
      </c>
      <c r="E17" s="12" t="s">
        <v>87</v>
      </c>
      <c r="F17" s="8" t="s">
        <v>115</v>
      </c>
      <c r="G17" s="11"/>
      <c r="H17" s="11"/>
    </row>
    <row r="18">
      <c r="A18" s="12" t="s">
        <v>116</v>
      </c>
      <c r="B18" s="8" t="s">
        <v>85</v>
      </c>
      <c r="C18" s="8" t="s">
        <v>117</v>
      </c>
      <c r="D18" s="12" t="s">
        <v>63</v>
      </c>
      <c r="E18" s="12" t="s">
        <v>64</v>
      </c>
      <c r="F18" s="8" t="s">
        <v>118</v>
      </c>
      <c r="G18" s="11"/>
      <c r="H18" s="11"/>
    </row>
    <row r="19">
      <c r="A19" s="12" t="s">
        <v>119</v>
      </c>
      <c r="B19" s="8" t="s">
        <v>85</v>
      </c>
      <c r="C19" s="8" t="s">
        <v>120</v>
      </c>
      <c r="D19" s="12" t="s">
        <v>63</v>
      </c>
      <c r="E19" s="12" t="s">
        <v>87</v>
      </c>
      <c r="F19" s="8" t="s">
        <v>121</v>
      </c>
      <c r="G19" s="11"/>
      <c r="H19" s="11"/>
    </row>
    <row r="20">
      <c r="A20" s="12" t="s">
        <v>122</v>
      </c>
      <c r="B20" s="8" t="s">
        <v>123</v>
      </c>
      <c r="C20" s="8" t="s">
        <v>124</v>
      </c>
      <c r="D20" s="12" t="s">
        <v>63</v>
      </c>
      <c r="E20" s="12" t="s">
        <v>64</v>
      </c>
      <c r="F20" s="8" t="s">
        <v>125</v>
      </c>
      <c r="G20" s="11"/>
      <c r="H20" s="11"/>
    </row>
    <row r="21">
      <c r="A21" s="12" t="s">
        <v>126</v>
      </c>
      <c r="B21" s="8" t="s">
        <v>123</v>
      </c>
      <c r="C21" s="8" t="s">
        <v>127</v>
      </c>
      <c r="D21" s="12" t="s">
        <v>63</v>
      </c>
      <c r="E21" s="12" t="s">
        <v>64</v>
      </c>
      <c r="F21" s="8" t="s">
        <v>128</v>
      </c>
      <c r="G21" s="11"/>
      <c r="H21" s="11"/>
    </row>
    <row r="22" ht="15.75" customHeight="1">
      <c r="A22" s="12" t="s">
        <v>129</v>
      </c>
      <c r="B22" s="8" t="s">
        <v>123</v>
      </c>
      <c r="C22" s="8" t="s">
        <v>130</v>
      </c>
      <c r="D22" s="12" t="s">
        <v>63</v>
      </c>
      <c r="E22" s="12" t="s">
        <v>87</v>
      </c>
      <c r="F22" s="8" t="s">
        <v>131</v>
      </c>
      <c r="G22" s="11"/>
      <c r="H22" s="11"/>
    </row>
    <row r="23" ht="15.75" customHeight="1">
      <c r="A23" s="12" t="s">
        <v>132</v>
      </c>
      <c r="B23" s="8" t="s">
        <v>123</v>
      </c>
      <c r="C23" s="8" t="s">
        <v>133</v>
      </c>
      <c r="D23" s="12" t="s">
        <v>63</v>
      </c>
      <c r="E23" s="12" t="s">
        <v>64</v>
      </c>
      <c r="F23" s="8" t="s">
        <v>134</v>
      </c>
      <c r="G23" s="11"/>
      <c r="H23" s="11"/>
    </row>
    <row r="24" ht="15.75" customHeight="1">
      <c r="A24" s="12" t="s">
        <v>135</v>
      </c>
      <c r="B24" s="8" t="s">
        <v>123</v>
      </c>
      <c r="C24" s="8" t="s">
        <v>136</v>
      </c>
      <c r="D24" s="12" t="s">
        <v>63</v>
      </c>
      <c r="E24" s="12" t="s">
        <v>64</v>
      </c>
      <c r="F24" s="8" t="s">
        <v>137</v>
      </c>
      <c r="G24" s="11"/>
      <c r="H24" s="11"/>
    </row>
    <row r="25" ht="15.75" customHeight="1">
      <c r="A25" s="12" t="s">
        <v>138</v>
      </c>
      <c r="B25" s="8" t="s">
        <v>123</v>
      </c>
      <c r="C25" s="8" t="s">
        <v>139</v>
      </c>
      <c r="D25" s="12" t="s">
        <v>63</v>
      </c>
      <c r="E25" s="12" t="s">
        <v>87</v>
      </c>
      <c r="F25" s="14" t="s">
        <v>140</v>
      </c>
      <c r="G25" s="11"/>
      <c r="H25" s="11"/>
    </row>
    <row r="26" ht="15.75" customHeight="1">
      <c r="A26" s="12" t="s">
        <v>141</v>
      </c>
      <c r="B26" s="8" t="s">
        <v>123</v>
      </c>
      <c r="C26" s="15" t="s">
        <v>142</v>
      </c>
      <c r="D26" s="12" t="s">
        <v>143</v>
      </c>
      <c r="E26" s="12" t="s">
        <v>144</v>
      </c>
      <c r="F26" s="8" t="s">
        <v>145</v>
      </c>
      <c r="G26" s="11"/>
      <c r="H26" s="11"/>
    </row>
    <row r="27" ht="15.75" customHeight="1">
      <c r="A27" s="12" t="s">
        <v>146</v>
      </c>
      <c r="B27" s="12" t="s">
        <v>147</v>
      </c>
      <c r="C27" s="8" t="s">
        <v>148</v>
      </c>
      <c r="D27" s="12" t="s">
        <v>63</v>
      </c>
      <c r="E27" s="12" t="s">
        <v>64</v>
      </c>
      <c r="F27" s="8" t="s">
        <v>149</v>
      </c>
      <c r="G27" s="11"/>
      <c r="H27" s="11"/>
    </row>
    <row r="28" ht="15.75" customHeight="1">
      <c r="A28" s="12" t="s">
        <v>150</v>
      </c>
      <c r="B28" s="12" t="s">
        <v>147</v>
      </c>
      <c r="C28" s="8" t="s">
        <v>151</v>
      </c>
      <c r="D28" s="12" t="s">
        <v>70</v>
      </c>
      <c r="E28" s="12" t="s">
        <v>87</v>
      </c>
      <c r="F28" s="8" t="s">
        <v>152</v>
      </c>
      <c r="G28" s="11"/>
      <c r="H28" s="11"/>
    </row>
    <row r="29" ht="15.75" customHeight="1">
      <c r="A29" s="12" t="s">
        <v>153</v>
      </c>
      <c r="B29" s="12" t="s">
        <v>147</v>
      </c>
      <c r="C29" s="8" t="s">
        <v>154</v>
      </c>
      <c r="D29" s="12" t="s">
        <v>70</v>
      </c>
      <c r="E29" s="12" t="s">
        <v>64</v>
      </c>
      <c r="F29" s="8" t="s">
        <v>155</v>
      </c>
      <c r="G29" s="11"/>
      <c r="H29" s="11"/>
    </row>
    <row r="30" ht="15.75" customHeight="1">
      <c r="A30" s="12" t="s">
        <v>156</v>
      </c>
      <c r="B30" s="12" t="s">
        <v>147</v>
      </c>
      <c r="C30" s="8" t="s">
        <v>157</v>
      </c>
      <c r="D30" s="12" t="s">
        <v>70</v>
      </c>
      <c r="E30" s="12" t="s">
        <v>64</v>
      </c>
      <c r="F30" s="8" t="s">
        <v>158</v>
      </c>
      <c r="G30" s="11"/>
      <c r="H30" s="11"/>
    </row>
    <row r="31" ht="31.5" customHeight="1">
      <c r="A31" s="12" t="s">
        <v>159</v>
      </c>
      <c r="B31" s="12" t="s">
        <v>147</v>
      </c>
      <c r="C31" s="8" t="s">
        <v>160</v>
      </c>
      <c r="D31" s="12" t="s">
        <v>63</v>
      </c>
      <c r="E31" s="12" t="s">
        <v>64</v>
      </c>
      <c r="F31" s="8" t="s">
        <v>161</v>
      </c>
      <c r="G31" s="11"/>
      <c r="H31" s="11"/>
    </row>
    <row r="32" ht="31.5" customHeight="1">
      <c r="A32" s="16"/>
      <c r="B32" s="16"/>
      <c r="C32" s="17"/>
      <c r="D32" s="16"/>
      <c r="E32" s="16"/>
      <c r="F32" s="17"/>
      <c r="G32" s="18"/>
      <c r="H32" s="18"/>
    </row>
    <row r="33" ht="31.5" customHeight="1">
      <c r="A33" s="16"/>
      <c r="B33" s="16"/>
      <c r="C33" s="17"/>
      <c r="D33" s="16"/>
      <c r="E33" s="16"/>
      <c r="F33" s="17"/>
      <c r="G33" s="18"/>
      <c r="H33" s="18"/>
    </row>
    <row r="34" ht="15.75" customHeight="1">
      <c r="D34" s="19"/>
      <c r="E34" s="19"/>
      <c r="H34" s="19"/>
    </row>
    <row r="35" ht="15.75" customHeight="1">
      <c r="D35" s="19"/>
      <c r="E35" s="19"/>
      <c r="H35" s="19"/>
    </row>
    <row r="36" ht="15.75" customHeight="1">
      <c r="D36" s="19"/>
      <c r="E36" s="19"/>
      <c r="H36" s="19"/>
    </row>
    <row r="37" ht="15.75" customHeight="1">
      <c r="D37" s="19"/>
      <c r="E37" s="19"/>
      <c r="H37" s="19"/>
    </row>
    <row r="38" ht="15.75" customHeight="1">
      <c r="D38" s="19"/>
      <c r="E38" s="19"/>
      <c r="H38" s="19"/>
    </row>
    <row r="39" ht="15.75" customHeight="1">
      <c r="D39" s="19"/>
      <c r="E39" s="19"/>
      <c r="H39" s="19"/>
    </row>
    <row r="40" ht="15.75" customHeight="1">
      <c r="D40" s="19"/>
      <c r="E40" s="19"/>
      <c r="H40" s="19"/>
    </row>
    <row r="41" ht="15.75" customHeight="1">
      <c r="D41" s="19"/>
      <c r="E41" s="19"/>
      <c r="H41" s="19"/>
    </row>
    <row r="42" ht="15.75" customHeight="1">
      <c r="D42" s="19"/>
      <c r="E42" s="19"/>
      <c r="H42" s="19"/>
    </row>
    <row r="43" ht="15.75" customHeight="1">
      <c r="D43" s="19"/>
      <c r="E43" s="19"/>
      <c r="H43" s="19"/>
    </row>
    <row r="44" ht="15.75" customHeight="1">
      <c r="D44" s="19"/>
      <c r="E44" s="19"/>
      <c r="H44" s="19"/>
    </row>
    <row r="45" ht="15.75" customHeight="1">
      <c r="D45" s="19"/>
      <c r="E45" s="19"/>
      <c r="H45" s="19"/>
    </row>
    <row r="46" ht="15.75" customHeight="1">
      <c r="D46" s="19"/>
      <c r="E46" s="19"/>
      <c r="H46" s="19"/>
    </row>
    <row r="47" ht="15.75" customHeight="1">
      <c r="D47" s="19"/>
      <c r="E47" s="19"/>
      <c r="H47" s="19"/>
    </row>
    <row r="48" ht="15.75" customHeight="1">
      <c r="D48" s="19"/>
      <c r="E48" s="19"/>
      <c r="H48" s="19"/>
    </row>
    <row r="49" ht="15.75" customHeight="1">
      <c r="D49" s="19"/>
      <c r="E49" s="19"/>
      <c r="H49" s="19"/>
    </row>
    <row r="50" ht="15.75" customHeight="1">
      <c r="D50" s="19"/>
      <c r="E50" s="19"/>
      <c r="H50" s="19"/>
    </row>
    <row r="51" ht="15.75" customHeight="1">
      <c r="D51" s="19"/>
      <c r="E51" s="19"/>
      <c r="H51" s="19"/>
    </row>
    <row r="52" ht="15.75" customHeight="1">
      <c r="D52" s="19"/>
      <c r="E52" s="19"/>
      <c r="H52" s="19"/>
    </row>
    <row r="53" ht="15.75" customHeight="1">
      <c r="D53" s="19"/>
      <c r="E53" s="19"/>
      <c r="H53" s="19"/>
    </row>
    <row r="54" ht="15.75" customHeight="1">
      <c r="D54" s="19"/>
      <c r="E54" s="19"/>
      <c r="H54" s="19"/>
    </row>
    <row r="55" ht="15.75" customHeight="1">
      <c r="D55" s="19"/>
      <c r="E55" s="19"/>
      <c r="H55" s="19"/>
    </row>
    <row r="56" ht="15.75" customHeight="1">
      <c r="D56" s="19"/>
      <c r="E56" s="19"/>
      <c r="H56" s="19"/>
    </row>
    <row r="57" ht="15.75" customHeight="1">
      <c r="D57" s="19"/>
      <c r="E57" s="19"/>
      <c r="H57" s="19"/>
    </row>
    <row r="58" ht="15.75" customHeight="1">
      <c r="D58" s="19"/>
      <c r="E58" s="19"/>
      <c r="H58" s="19"/>
    </row>
    <row r="59" ht="15.75" customHeight="1">
      <c r="D59" s="19"/>
      <c r="E59" s="19"/>
      <c r="H59" s="19"/>
    </row>
    <row r="60" ht="15.75" customHeight="1">
      <c r="D60" s="19"/>
      <c r="E60" s="19"/>
      <c r="H60" s="19"/>
    </row>
    <row r="61" ht="15.75" customHeight="1">
      <c r="D61" s="19"/>
      <c r="E61" s="19"/>
      <c r="H61" s="19"/>
    </row>
    <row r="62" ht="15.75" customHeight="1">
      <c r="D62" s="19"/>
      <c r="E62" s="19"/>
      <c r="H62" s="19"/>
    </row>
    <row r="63" ht="15.75" customHeight="1">
      <c r="D63" s="19"/>
      <c r="E63" s="19"/>
      <c r="H63" s="19"/>
    </row>
    <row r="64" ht="15.75" customHeight="1">
      <c r="D64" s="19"/>
      <c r="E64" s="19"/>
      <c r="H64" s="19"/>
    </row>
    <row r="65" ht="15.75" customHeight="1">
      <c r="D65" s="19"/>
      <c r="E65" s="19"/>
      <c r="H65" s="19"/>
    </row>
    <row r="66" ht="15.75" customHeight="1">
      <c r="D66" s="19"/>
      <c r="E66" s="19"/>
      <c r="H66" s="19"/>
    </row>
    <row r="67" ht="15.75" customHeight="1">
      <c r="D67" s="19"/>
      <c r="E67" s="19"/>
      <c r="H67" s="19"/>
    </row>
    <row r="68" ht="15.75" customHeight="1">
      <c r="D68" s="19"/>
      <c r="E68" s="19"/>
      <c r="H68" s="19"/>
    </row>
    <row r="69" ht="15.75" customHeight="1">
      <c r="D69" s="19"/>
      <c r="E69" s="19"/>
      <c r="H69" s="19"/>
    </row>
    <row r="70" ht="15.75" customHeight="1">
      <c r="D70" s="19"/>
      <c r="E70" s="19"/>
      <c r="H70" s="19"/>
    </row>
    <row r="71" ht="15.75" customHeight="1">
      <c r="D71" s="19"/>
      <c r="E71" s="19"/>
      <c r="H71" s="19"/>
    </row>
    <row r="72" ht="15.75" customHeight="1">
      <c r="D72" s="19"/>
      <c r="E72" s="19"/>
      <c r="H72" s="19"/>
    </row>
    <row r="73" ht="15.75" customHeight="1">
      <c r="D73" s="19"/>
      <c r="E73" s="19"/>
      <c r="H73" s="19"/>
    </row>
    <row r="74" ht="15.75" customHeight="1">
      <c r="D74" s="19"/>
      <c r="E74" s="19"/>
      <c r="H74" s="19"/>
    </row>
    <row r="75" ht="15.75" customHeight="1">
      <c r="D75" s="19"/>
      <c r="E75" s="19"/>
      <c r="H75" s="19"/>
    </row>
    <row r="76" ht="15.75" customHeight="1">
      <c r="D76" s="19"/>
      <c r="E76" s="19"/>
      <c r="H76" s="19"/>
    </row>
    <row r="77" ht="15.75" customHeight="1">
      <c r="D77" s="19"/>
      <c r="E77" s="19"/>
      <c r="H77" s="19"/>
    </row>
    <row r="78" ht="15.75" customHeight="1">
      <c r="D78" s="19"/>
      <c r="E78" s="19"/>
      <c r="H78" s="19"/>
    </row>
    <row r="79" ht="15.75" customHeight="1">
      <c r="D79" s="19"/>
      <c r="E79" s="19"/>
      <c r="H79" s="19"/>
    </row>
    <row r="80" ht="15.75" customHeight="1">
      <c r="D80" s="19"/>
      <c r="E80" s="19"/>
      <c r="H80" s="19"/>
    </row>
    <row r="81" ht="15.75" customHeight="1">
      <c r="D81" s="19"/>
      <c r="E81" s="19"/>
      <c r="H81" s="19"/>
    </row>
    <row r="82" ht="15.75" customHeight="1">
      <c r="D82" s="19"/>
      <c r="E82" s="19"/>
      <c r="H82" s="19"/>
    </row>
    <row r="83" ht="15.75" customHeight="1">
      <c r="D83" s="19"/>
      <c r="E83" s="19"/>
      <c r="H83" s="19"/>
    </row>
    <row r="84" ht="15.75" customHeight="1">
      <c r="D84" s="19"/>
      <c r="E84" s="19"/>
      <c r="H84" s="19"/>
    </row>
    <row r="85" ht="15.75" customHeight="1">
      <c r="D85" s="19"/>
      <c r="E85" s="19"/>
      <c r="H85" s="19"/>
    </row>
    <row r="86" ht="15.75" customHeight="1">
      <c r="D86" s="19"/>
      <c r="E86" s="19"/>
      <c r="H86" s="19"/>
    </row>
    <row r="87" ht="15.75" customHeight="1">
      <c r="D87" s="19"/>
      <c r="E87" s="19"/>
      <c r="H87" s="19"/>
    </row>
    <row r="88" ht="15.75" customHeight="1">
      <c r="D88" s="19"/>
      <c r="E88" s="19"/>
      <c r="H88" s="19"/>
    </row>
    <row r="89" ht="15.75" customHeight="1">
      <c r="D89" s="19"/>
      <c r="E89" s="19"/>
      <c r="H89" s="19"/>
    </row>
    <row r="90" ht="15.75" customHeight="1">
      <c r="D90" s="19"/>
      <c r="E90" s="19"/>
      <c r="H90" s="19"/>
    </row>
    <row r="91" ht="15.75" customHeight="1">
      <c r="D91" s="19"/>
      <c r="E91" s="19"/>
      <c r="H91" s="19"/>
    </row>
    <row r="92" ht="15.75" customHeight="1">
      <c r="D92" s="19"/>
      <c r="E92" s="19"/>
      <c r="H92" s="19"/>
    </row>
    <row r="93" ht="15.75" customHeight="1">
      <c r="D93" s="19"/>
      <c r="E93" s="19"/>
      <c r="H93" s="19"/>
    </row>
    <row r="94" ht="15.75" customHeight="1">
      <c r="D94" s="19"/>
      <c r="E94" s="19"/>
      <c r="H94" s="19"/>
    </row>
    <row r="95" ht="15.75" customHeight="1">
      <c r="D95" s="19"/>
      <c r="E95" s="19"/>
      <c r="H95" s="19"/>
    </row>
    <row r="96" ht="15.75" customHeight="1">
      <c r="D96" s="19"/>
      <c r="E96" s="19"/>
      <c r="H96" s="19"/>
    </row>
    <row r="97" ht="15.75" customHeight="1">
      <c r="D97" s="19"/>
      <c r="E97" s="19"/>
      <c r="H97" s="19"/>
    </row>
    <row r="98" ht="15.75" customHeight="1">
      <c r="D98" s="19"/>
      <c r="E98" s="19"/>
      <c r="H98" s="19"/>
    </row>
    <row r="99" ht="15.75" customHeight="1">
      <c r="D99" s="19"/>
      <c r="E99" s="19"/>
      <c r="H99" s="19"/>
    </row>
    <row r="100" ht="15.75" customHeight="1">
      <c r="D100" s="19"/>
      <c r="E100" s="19"/>
      <c r="H100" s="19"/>
    </row>
    <row r="101" ht="15.75" customHeight="1">
      <c r="D101" s="19"/>
      <c r="E101" s="19"/>
      <c r="H101" s="19"/>
    </row>
    <row r="102" ht="15.75" customHeight="1">
      <c r="D102" s="19"/>
      <c r="E102" s="19"/>
      <c r="H102" s="19"/>
    </row>
    <row r="103" ht="15.75" customHeight="1">
      <c r="D103" s="19"/>
      <c r="E103" s="19"/>
      <c r="H103" s="19"/>
    </row>
    <row r="104" ht="15.75" customHeight="1">
      <c r="D104" s="19"/>
      <c r="E104" s="19"/>
      <c r="H104" s="19"/>
    </row>
    <row r="105" ht="15.75" customHeight="1">
      <c r="D105" s="19"/>
      <c r="E105" s="19"/>
      <c r="H105" s="19"/>
    </row>
    <row r="106" ht="15.75" customHeight="1">
      <c r="D106" s="19"/>
      <c r="E106" s="19"/>
      <c r="H106" s="19"/>
    </row>
    <row r="107" ht="15.75" customHeight="1">
      <c r="D107" s="19"/>
      <c r="E107" s="19"/>
      <c r="H107" s="19"/>
    </row>
    <row r="108" ht="15.75" customHeight="1">
      <c r="D108" s="19"/>
      <c r="E108" s="19"/>
      <c r="H108" s="19"/>
    </row>
    <row r="109" ht="15.75" customHeight="1">
      <c r="D109" s="19"/>
      <c r="E109" s="19"/>
      <c r="H109" s="19"/>
    </row>
    <row r="110" ht="15.75" customHeight="1">
      <c r="D110" s="19"/>
      <c r="E110" s="19"/>
      <c r="H110" s="19"/>
    </row>
    <row r="111" ht="15.75" customHeight="1">
      <c r="D111" s="19"/>
      <c r="E111" s="19"/>
      <c r="H111" s="19"/>
    </row>
    <row r="112" ht="15.75" customHeight="1">
      <c r="D112" s="19"/>
      <c r="E112" s="19"/>
      <c r="H112" s="19"/>
    </row>
    <row r="113" ht="15.75" customHeight="1">
      <c r="D113" s="19"/>
      <c r="E113" s="19"/>
      <c r="H113" s="19"/>
    </row>
    <row r="114" ht="15.75" customHeight="1">
      <c r="D114" s="19"/>
      <c r="E114" s="19"/>
      <c r="H114" s="19"/>
    </row>
    <row r="115" ht="15.75" customHeight="1">
      <c r="D115" s="19"/>
      <c r="E115" s="19"/>
      <c r="H115" s="19"/>
    </row>
    <row r="116" ht="15.75" customHeight="1">
      <c r="D116" s="19"/>
      <c r="E116" s="19"/>
      <c r="H116" s="19"/>
    </row>
    <row r="117" ht="15.75" customHeight="1">
      <c r="D117" s="19"/>
      <c r="E117" s="19"/>
      <c r="H117" s="19"/>
    </row>
    <row r="118" ht="15.75" customHeight="1">
      <c r="D118" s="19"/>
      <c r="E118" s="19"/>
      <c r="H118" s="19"/>
    </row>
    <row r="119" ht="15.75" customHeight="1">
      <c r="D119" s="19"/>
      <c r="E119" s="19"/>
      <c r="H119" s="19"/>
    </row>
    <row r="120" ht="15.75" customHeight="1">
      <c r="D120" s="19"/>
      <c r="E120" s="19"/>
      <c r="H120" s="19"/>
    </row>
    <row r="121" ht="15.75" customHeight="1">
      <c r="D121" s="19"/>
      <c r="E121" s="19"/>
      <c r="H121" s="19"/>
    </row>
    <row r="122" ht="15.75" customHeight="1">
      <c r="D122" s="19"/>
      <c r="E122" s="19"/>
      <c r="H122" s="19"/>
    </row>
    <row r="123" ht="15.75" customHeight="1">
      <c r="D123" s="19"/>
      <c r="E123" s="19"/>
      <c r="H123" s="19"/>
    </row>
    <row r="124" ht="15.75" customHeight="1">
      <c r="D124" s="19"/>
      <c r="E124" s="19"/>
      <c r="H124" s="19"/>
    </row>
    <row r="125" ht="15.75" customHeight="1">
      <c r="D125" s="19"/>
      <c r="E125" s="19"/>
      <c r="H125" s="19"/>
    </row>
    <row r="126" ht="15.75" customHeight="1">
      <c r="D126" s="19"/>
      <c r="E126" s="19"/>
      <c r="H126" s="19"/>
    </row>
    <row r="127" ht="15.75" customHeight="1">
      <c r="D127" s="19"/>
      <c r="E127" s="19"/>
      <c r="H127" s="19"/>
    </row>
    <row r="128" ht="15.75" customHeight="1">
      <c r="D128" s="19"/>
      <c r="E128" s="19"/>
      <c r="H128" s="19"/>
    </row>
    <row r="129" ht="15.75" customHeight="1">
      <c r="D129" s="19"/>
      <c r="E129" s="19"/>
      <c r="H129" s="19"/>
    </row>
    <row r="130" ht="15.75" customHeight="1">
      <c r="D130" s="19"/>
      <c r="E130" s="19"/>
      <c r="H130" s="19"/>
    </row>
    <row r="131" ht="15.75" customHeight="1">
      <c r="D131" s="19"/>
      <c r="E131" s="19"/>
      <c r="H131" s="19"/>
    </row>
    <row r="132" ht="15.75" customHeight="1">
      <c r="D132" s="19"/>
      <c r="E132" s="19"/>
      <c r="H132" s="19"/>
    </row>
    <row r="133" ht="15.75" customHeight="1">
      <c r="D133" s="19"/>
      <c r="E133" s="19"/>
      <c r="H133" s="19"/>
    </row>
    <row r="134" ht="15.75" customHeight="1">
      <c r="D134" s="19"/>
      <c r="E134" s="19"/>
      <c r="H134" s="19"/>
    </row>
    <row r="135" ht="15.75" customHeight="1">
      <c r="D135" s="19"/>
      <c r="E135" s="19"/>
      <c r="H135" s="19"/>
    </row>
    <row r="136" ht="15.75" customHeight="1">
      <c r="D136" s="19"/>
      <c r="E136" s="19"/>
      <c r="H136" s="19"/>
    </row>
    <row r="137" ht="15.75" customHeight="1">
      <c r="D137" s="19"/>
      <c r="E137" s="19"/>
      <c r="H137" s="19"/>
    </row>
    <row r="138" ht="15.75" customHeight="1">
      <c r="D138" s="19"/>
      <c r="E138" s="19"/>
      <c r="H138" s="19"/>
    </row>
    <row r="139" ht="15.75" customHeight="1">
      <c r="D139" s="19"/>
      <c r="E139" s="19"/>
      <c r="H139" s="19"/>
    </row>
    <row r="140" ht="15.75" customHeight="1">
      <c r="D140" s="19"/>
      <c r="E140" s="19"/>
      <c r="H140" s="19"/>
    </row>
    <row r="141" ht="15.75" customHeight="1">
      <c r="D141" s="19"/>
      <c r="E141" s="19"/>
      <c r="H141" s="19"/>
    </row>
    <row r="142" ht="15.75" customHeight="1">
      <c r="D142" s="19"/>
      <c r="E142" s="19"/>
      <c r="H142" s="19"/>
    </row>
    <row r="143" ht="15.75" customHeight="1">
      <c r="D143" s="19"/>
      <c r="E143" s="19"/>
      <c r="H143" s="19"/>
    </row>
    <row r="144" ht="15.75" customHeight="1">
      <c r="D144" s="19"/>
      <c r="E144" s="19"/>
      <c r="H144" s="19"/>
    </row>
    <row r="145" ht="15.75" customHeight="1">
      <c r="D145" s="19"/>
      <c r="E145" s="19"/>
      <c r="H145" s="19"/>
    </row>
    <row r="146" ht="15.75" customHeight="1">
      <c r="D146" s="19"/>
      <c r="E146" s="19"/>
      <c r="H146" s="19"/>
    </row>
    <row r="147" ht="15.75" customHeight="1">
      <c r="D147" s="19"/>
      <c r="E147" s="19"/>
      <c r="H147" s="19"/>
    </row>
    <row r="148" ht="15.75" customHeight="1">
      <c r="D148" s="19"/>
      <c r="E148" s="19"/>
      <c r="H148" s="19"/>
    </row>
    <row r="149" ht="15.75" customHeight="1">
      <c r="D149" s="19"/>
      <c r="E149" s="19"/>
      <c r="H149" s="19"/>
    </row>
    <row r="150" ht="15.75" customHeight="1">
      <c r="D150" s="19"/>
      <c r="E150" s="19"/>
      <c r="H150" s="19"/>
    </row>
    <row r="151" ht="15.75" customHeight="1">
      <c r="D151" s="19"/>
      <c r="E151" s="19"/>
      <c r="H151" s="19"/>
    </row>
    <row r="152" ht="15.75" customHeight="1">
      <c r="D152" s="19"/>
      <c r="E152" s="19"/>
      <c r="H152" s="19"/>
    </row>
    <row r="153" ht="15.75" customHeight="1">
      <c r="D153" s="19"/>
      <c r="E153" s="19"/>
      <c r="H153" s="19"/>
    </row>
    <row r="154" ht="15.75" customHeight="1">
      <c r="D154" s="19"/>
      <c r="E154" s="19"/>
      <c r="H154" s="19"/>
    </row>
    <row r="155" ht="15.75" customHeight="1">
      <c r="D155" s="19"/>
      <c r="E155" s="19"/>
      <c r="H155" s="19"/>
    </row>
    <row r="156" ht="15.75" customHeight="1">
      <c r="D156" s="19"/>
      <c r="E156" s="19"/>
      <c r="H156" s="19"/>
    </row>
    <row r="157" ht="15.75" customHeight="1">
      <c r="D157" s="19"/>
      <c r="E157" s="19"/>
      <c r="H157" s="19"/>
    </row>
    <row r="158" ht="15.75" customHeight="1">
      <c r="D158" s="19"/>
      <c r="E158" s="19"/>
      <c r="H158" s="19"/>
    </row>
    <row r="159" ht="15.75" customHeight="1">
      <c r="D159" s="19"/>
      <c r="E159" s="19"/>
      <c r="H159" s="19"/>
    </row>
    <row r="160" ht="15.75" customHeight="1">
      <c r="D160" s="19"/>
      <c r="E160" s="19"/>
      <c r="H160" s="19"/>
    </row>
    <row r="161" ht="15.75" customHeight="1">
      <c r="D161" s="19"/>
      <c r="E161" s="19"/>
      <c r="H161" s="19"/>
    </row>
    <row r="162" ht="15.75" customHeight="1">
      <c r="D162" s="19"/>
      <c r="E162" s="19"/>
      <c r="H162" s="19"/>
    </row>
    <row r="163" ht="15.75" customHeight="1">
      <c r="D163" s="19"/>
      <c r="E163" s="19"/>
      <c r="H163" s="19"/>
    </row>
    <row r="164" ht="15.75" customHeight="1">
      <c r="D164" s="19"/>
      <c r="E164" s="19"/>
      <c r="H164" s="19"/>
    </row>
    <row r="165" ht="15.75" customHeight="1">
      <c r="D165" s="19"/>
      <c r="E165" s="19"/>
      <c r="H165" s="19"/>
    </row>
    <row r="166" ht="15.75" customHeight="1">
      <c r="D166" s="19"/>
      <c r="E166" s="19"/>
      <c r="H166" s="19"/>
    </row>
    <row r="167" ht="15.75" customHeight="1">
      <c r="D167" s="19"/>
      <c r="E167" s="19"/>
      <c r="H167" s="19"/>
    </row>
    <row r="168" ht="15.75" customHeight="1">
      <c r="D168" s="19"/>
      <c r="E168" s="19"/>
      <c r="H168" s="19"/>
    </row>
    <row r="169" ht="15.75" customHeight="1">
      <c r="D169" s="19"/>
      <c r="E169" s="19"/>
      <c r="H169" s="19"/>
    </row>
    <row r="170" ht="15.75" customHeight="1">
      <c r="D170" s="19"/>
      <c r="E170" s="19"/>
      <c r="H170" s="19"/>
    </row>
    <row r="171" ht="15.75" customHeight="1">
      <c r="D171" s="19"/>
      <c r="E171" s="19"/>
      <c r="H171" s="19"/>
    </row>
    <row r="172" ht="15.75" customHeight="1">
      <c r="D172" s="19"/>
      <c r="E172" s="19"/>
      <c r="H172" s="19"/>
    </row>
    <row r="173" ht="15.75" customHeight="1">
      <c r="D173" s="19"/>
      <c r="E173" s="19"/>
      <c r="H173" s="19"/>
    </row>
    <row r="174" ht="15.75" customHeight="1">
      <c r="D174" s="19"/>
      <c r="E174" s="19"/>
      <c r="H174" s="19"/>
    </row>
    <row r="175" ht="15.75" customHeight="1">
      <c r="D175" s="19"/>
      <c r="E175" s="19"/>
      <c r="H175" s="19"/>
    </row>
    <row r="176" ht="15.75" customHeight="1">
      <c r="D176" s="19"/>
      <c r="E176" s="19"/>
      <c r="H176" s="19"/>
    </row>
    <row r="177" ht="15.75" customHeight="1">
      <c r="D177" s="19"/>
      <c r="E177" s="19"/>
      <c r="H177" s="19"/>
    </row>
    <row r="178" ht="15.75" customHeight="1">
      <c r="D178" s="19"/>
      <c r="E178" s="19"/>
      <c r="H178" s="19"/>
    </row>
    <row r="179" ht="15.75" customHeight="1">
      <c r="D179" s="19"/>
      <c r="E179" s="19"/>
      <c r="H179" s="19"/>
    </row>
    <row r="180" ht="15.75" customHeight="1">
      <c r="D180" s="19"/>
      <c r="E180" s="19"/>
      <c r="H180" s="19"/>
    </row>
    <row r="181" ht="15.75" customHeight="1">
      <c r="D181" s="19"/>
      <c r="E181" s="19"/>
      <c r="H181" s="19"/>
    </row>
    <row r="182" ht="15.75" customHeight="1">
      <c r="D182" s="19"/>
      <c r="E182" s="19"/>
      <c r="H182" s="19"/>
    </row>
    <row r="183" ht="15.75" customHeight="1">
      <c r="D183" s="19"/>
      <c r="E183" s="19"/>
      <c r="H183" s="19"/>
    </row>
    <row r="184" ht="15.75" customHeight="1">
      <c r="D184" s="19"/>
      <c r="E184" s="19"/>
      <c r="H184" s="19"/>
    </row>
    <row r="185" ht="15.75" customHeight="1">
      <c r="D185" s="19"/>
      <c r="E185" s="19"/>
      <c r="H185" s="19"/>
    </row>
    <row r="186" ht="15.75" customHeight="1">
      <c r="D186" s="19"/>
      <c r="E186" s="19"/>
      <c r="H186" s="19"/>
    </row>
    <row r="187" ht="15.75" customHeight="1">
      <c r="D187" s="19"/>
      <c r="E187" s="19"/>
      <c r="H187" s="19"/>
    </row>
    <row r="188" ht="15.75" customHeight="1">
      <c r="D188" s="19"/>
      <c r="E188" s="19"/>
      <c r="H188" s="19"/>
    </row>
    <row r="189" ht="15.75" customHeight="1">
      <c r="D189" s="19"/>
      <c r="E189" s="19"/>
      <c r="H189" s="19"/>
    </row>
    <row r="190" ht="15.75" customHeight="1">
      <c r="D190" s="19"/>
      <c r="E190" s="19"/>
      <c r="H190" s="19"/>
    </row>
    <row r="191" ht="15.75" customHeight="1">
      <c r="D191" s="19"/>
      <c r="E191" s="19"/>
      <c r="H191" s="19"/>
    </row>
    <row r="192" ht="15.75" customHeight="1">
      <c r="D192" s="19"/>
      <c r="E192" s="19"/>
      <c r="H192" s="19"/>
    </row>
    <row r="193" ht="15.75" customHeight="1">
      <c r="D193" s="19"/>
      <c r="E193" s="19"/>
      <c r="H193" s="19"/>
    </row>
    <row r="194" ht="15.75" customHeight="1">
      <c r="D194" s="19"/>
      <c r="E194" s="19"/>
      <c r="H194" s="19"/>
    </row>
    <row r="195" ht="15.75" customHeight="1">
      <c r="D195" s="19"/>
      <c r="E195" s="19"/>
      <c r="H195" s="19"/>
    </row>
    <row r="196" ht="15.75" customHeight="1">
      <c r="D196" s="19"/>
      <c r="E196" s="19"/>
      <c r="H196" s="19"/>
    </row>
    <row r="197" ht="15.75" customHeight="1">
      <c r="D197" s="19"/>
      <c r="E197" s="19"/>
      <c r="H197" s="19"/>
    </row>
    <row r="198" ht="15.75" customHeight="1">
      <c r="D198" s="19"/>
      <c r="E198" s="19"/>
      <c r="H198" s="19"/>
    </row>
    <row r="199" ht="15.75" customHeight="1">
      <c r="D199" s="19"/>
      <c r="E199" s="19"/>
      <c r="H199" s="19"/>
    </row>
    <row r="200" ht="15.75" customHeight="1">
      <c r="D200" s="19"/>
      <c r="E200" s="19"/>
      <c r="H200" s="19"/>
    </row>
    <row r="201" ht="15.75" customHeight="1">
      <c r="D201" s="19"/>
      <c r="E201" s="19"/>
      <c r="H201" s="19"/>
    </row>
    <row r="202" ht="15.75" customHeight="1">
      <c r="D202" s="19"/>
      <c r="E202" s="19"/>
      <c r="H202" s="19"/>
    </row>
    <row r="203" ht="15.75" customHeight="1">
      <c r="D203" s="19"/>
      <c r="E203" s="19"/>
      <c r="H203" s="19"/>
    </row>
    <row r="204" ht="15.75" customHeight="1">
      <c r="D204" s="19"/>
      <c r="E204" s="19"/>
      <c r="H204" s="19"/>
    </row>
    <row r="205" ht="15.75" customHeight="1">
      <c r="D205" s="19"/>
      <c r="E205" s="19"/>
      <c r="H205" s="19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autoFilter ref="$A$1:$H$1"/>
  <dataValidations>
    <dataValidation type="list" allowBlank="1" sqref="H2:H205">
      <formula1>"Não Iniciado,Em Andamento,Concluído"</formula1>
    </dataValidation>
    <dataValidation type="list" allowBlank="1" sqref="D2:D205">
      <formula1>"Positivo,Negativo,Borda"</formula1>
    </dataValidation>
    <dataValidation type="list" allowBlank="1" sqref="E2:E205">
      <formula1>"Alta,Média,Baixa"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4.0"/>
    <col customWidth="1" min="3" max="3" width="17.29"/>
    <col customWidth="1" min="4" max="4" width="14.0"/>
    <col customWidth="1" min="5" max="6" width="11.0"/>
    <col customWidth="1" min="7" max="7" width="18.57"/>
    <col customWidth="1" min="8" max="8" width="22.0"/>
    <col customWidth="1" min="9" max="9" width="38.0"/>
    <col customWidth="1" min="10" max="10" width="30.0"/>
    <col customWidth="1" min="11" max="11" width="24.0"/>
    <col customWidth="1" min="12" max="12" width="30.29"/>
    <col customWidth="1" min="13" max="13" width="62.86"/>
    <col customWidth="1" min="14" max="14" width="45.57"/>
    <col customWidth="1" min="15" max="26" width="8.71"/>
  </cols>
  <sheetData>
    <row r="1">
      <c r="A1" s="20" t="s">
        <v>52</v>
      </c>
      <c r="B1" s="20" t="s">
        <v>162</v>
      </c>
      <c r="C1" s="20" t="s">
        <v>163</v>
      </c>
      <c r="D1" s="20" t="s">
        <v>164</v>
      </c>
      <c r="E1" s="20" t="s">
        <v>55</v>
      </c>
      <c r="F1" s="20" t="s">
        <v>56</v>
      </c>
      <c r="G1" s="20" t="s">
        <v>165</v>
      </c>
      <c r="H1" s="20" t="s">
        <v>166</v>
      </c>
      <c r="I1" s="20" t="s">
        <v>167</v>
      </c>
      <c r="J1" s="20" t="s">
        <v>168</v>
      </c>
      <c r="K1" s="20" t="s">
        <v>169</v>
      </c>
      <c r="L1" s="20" t="s">
        <v>59</v>
      </c>
      <c r="M1" s="20" t="s">
        <v>170</v>
      </c>
      <c r="N1" s="20" t="s">
        <v>171</v>
      </c>
    </row>
    <row r="2" ht="69.75" customHeight="1">
      <c r="A2" s="11" t="s">
        <v>66</v>
      </c>
      <c r="B2" s="11" t="s">
        <v>60</v>
      </c>
      <c r="C2" s="7" t="s">
        <v>172</v>
      </c>
      <c r="D2" s="11" t="s">
        <v>173</v>
      </c>
      <c r="E2" s="11" t="s">
        <v>63</v>
      </c>
      <c r="F2" s="11" t="s">
        <v>64</v>
      </c>
      <c r="G2" s="7" t="s">
        <v>174</v>
      </c>
      <c r="H2" s="7" t="s">
        <v>175</v>
      </c>
      <c r="I2" s="7" t="s">
        <v>176</v>
      </c>
      <c r="J2" s="7" t="s">
        <v>177</v>
      </c>
      <c r="K2" s="8" t="s">
        <v>178</v>
      </c>
      <c r="L2" s="12" t="s">
        <v>179</v>
      </c>
      <c r="M2" s="11"/>
      <c r="N2" s="7"/>
    </row>
    <row r="3" ht="69.75" customHeight="1">
      <c r="A3" s="11" t="s">
        <v>72</v>
      </c>
      <c r="B3" s="11" t="s">
        <v>68</v>
      </c>
      <c r="C3" s="7" t="s">
        <v>180</v>
      </c>
      <c r="D3" s="11" t="s">
        <v>173</v>
      </c>
      <c r="E3" s="11" t="s">
        <v>70</v>
      </c>
      <c r="F3" s="11" t="s">
        <v>64</v>
      </c>
      <c r="G3" s="7" t="s">
        <v>174</v>
      </c>
      <c r="H3" s="7" t="s">
        <v>181</v>
      </c>
      <c r="I3" s="7" t="s">
        <v>182</v>
      </c>
      <c r="J3" s="8" t="s">
        <v>183</v>
      </c>
      <c r="K3" s="7"/>
      <c r="L3" s="11" t="s">
        <v>184</v>
      </c>
      <c r="M3" s="11"/>
      <c r="N3" s="7"/>
    </row>
    <row r="4">
      <c r="A4" s="12" t="s">
        <v>185</v>
      </c>
      <c r="B4" s="12" t="s">
        <v>73</v>
      </c>
      <c r="C4" s="8" t="s">
        <v>186</v>
      </c>
      <c r="D4" s="12" t="s">
        <v>173</v>
      </c>
      <c r="E4" s="12" t="s">
        <v>70</v>
      </c>
      <c r="F4" s="12" t="s">
        <v>64</v>
      </c>
      <c r="G4" s="21" t="s">
        <v>187</v>
      </c>
      <c r="H4" s="8" t="s">
        <v>188</v>
      </c>
      <c r="I4" s="22" t="s">
        <v>189</v>
      </c>
      <c r="J4" s="8" t="s">
        <v>190</v>
      </c>
      <c r="K4" s="7"/>
      <c r="L4" s="12" t="s">
        <v>184</v>
      </c>
      <c r="M4" s="11"/>
      <c r="N4" s="7"/>
    </row>
    <row r="5">
      <c r="A5" s="12" t="s">
        <v>191</v>
      </c>
      <c r="B5" s="12" t="s">
        <v>76</v>
      </c>
      <c r="C5" s="8" t="s">
        <v>192</v>
      </c>
      <c r="D5" s="12" t="s">
        <v>173</v>
      </c>
      <c r="E5" s="12" t="s">
        <v>70</v>
      </c>
      <c r="F5" s="12" t="s">
        <v>64</v>
      </c>
      <c r="G5" s="21" t="s">
        <v>193</v>
      </c>
      <c r="H5" s="8" t="s">
        <v>194</v>
      </c>
      <c r="I5" s="8" t="s">
        <v>195</v>
      </c>
      <c r="J5" s="8" t="s">
        <v>196</v>
      </c>
      <c r="K5" s="7"/>
      <c r="L5" s="11"/>
      <c r="M5" s="11"/>
      <c r="N5" s="7"/>
    </row>
    <row r="6">
      <c r="A6" s="12" t="s">
        <v>197</v>
      </c>
      <c r="B6" s="12" t="s">
        <v>79</v>
      </c>
      <c r="C6" s="8" t="s">
        <v>198</v>
      </c>
      <c r="D6" s="12" t="s">
        <v>173</v>
      </c>
      <c r="E6" s="12" t="s">
        <v>70</v>
      </c>
      <c r="F6" s="12" t="s">
        <v>64</v>
      </c>
      <c r="G6" s="21" t="s">
        <v>199</v>
      </c>
      <c r="H6" s="8" t="s">
        <v>200</v>
      </c>
      <c r="I6" s="8" t="s">
        <v>201</v>
      </c>
      <c r="J6" s="8" t="s">
        <v>202</v>
      </c>
      <c r="K6" s="7"/>
      <c r="L6" s="11"/>
      <c r="M6" s="11"/>
      <c r="N6" s="7"/>
    </row>
    <row r="7">
      <c r="A7" s="12" t="s">
        <v>203</v>
      </c>
      <c r="B7" s="12" t="s">
        <v>81</v>
      </c>
      <c r="C7" s="8" t="s">
        <v>204</v>
      </c>
      <c r="D7" s="12" t="s">
        <v>173</v>
      </c>
      <c r="E7" s="12" t="s">
        <v>70</v>
      </c>
      <c r="F7" s="12" t="s">
        <v>64</v>
      </c>
      <c r="G7" s="21" t="s">
        <v>205</v>
      </c>
      <c r="H7" s="8" t="s">
        <v>206</v>
      </c>
      <c r="I7" s="8" t="s">
        <v>207</v>
      </c>
      <c r="J7" s="8" t="s">
        <v>208</v>
      </c>
      <c r="K7" s="7"/>
      <c r="L7" s="11"/>
      <c r="M7" s="11"/>
      <c r="N7" s="7"/>
    </row>
    <row r="8">
      <c r="A8" s="12" t="s">
        <v>209</v>
      </c>
      <c r="B8" s="12" t="s">
        <v>84</v>
      </c>
      <c r="C8" s="8" t="s">
        <v>210</v>
      </c>
      <c r="D8" s="12" t="s">
        <v>85</v>
      </c>
      <c r="E8" s="12" t="s">
        <v>63</v>
      </c>
      <c r="F8" s="12" t="s">
        <v>64</v>
      </c>
      <c r="G8" s="8" t="s">
        <v>211</v>
      </c>
      <c r="H8" s="8" t="s">
        <v>175</v>
      </c>
      <c r="I8" s="8" t="s">
        <v>212</v>
      </c>
      <c r="J8" s="8" t="s">
        <v>213</v>
      </c>
      <c r="K8" s="7"/>
      <c r="L8" s="11"/>
      <c r="M8" s="11"/>
      <c r="N8" s="7"/>
    </row>
    <row r="9">
      <c r="A9" s="12" t="s">
        <v>214</v>
      </c>
      <c r="B9" s="12" t="s">
        <v>89</v>
      </c>
      <c r="C9" s="8" t="s">
        <v>215</v>
      </c>
      <c r="D9" s="12" t="s">
        <v>85</v>
      </c>
      <c r="E9" s="12" t="s">
        <v>63</v>
      </c>
      <c r="F9" s="12" t="s">
        <v>64</v>
      </c>
      <c r="G9" s="8" t="s">
        <v>211</v>
      </c>
      <c r="H9" s="8" t="s">
        <v>175</v>
      </c>
      <c r="I9" s="8" t="s">
        <v>216</v>
      </c>
      <c r="J9" s="8" t="s">
        <v>217</v>
      </c>
      <c r="K9" s="7"/>
      <c r="L9" s="11"/>
      <c r="M9" s="11"/>
      <c r="N9" s="7"/>
    </row>
    <row r="10">
      <c r="A10" s="12" t="s">
        <v>218</v>
      </c>
      <c r="B10" s="12" t="s">
        <v>92</v>
      </c>
      <c r="C10" s="8" t="s">
        <v>219</v>
      </c>
      <c r="D10" s="12" t="s">
        <v>85</v>
      </c>
      <c r="E10" s="12" t="s">
        <v>63</v>
      </c>
      <c r="F10" s="12" t="s">
        <v>87</v>
      </c>
      <c r="G10" s="23" t="s">
        <v>211</v>
      </c>
      <c r="H10" s="8" t="s">
        <v>175</v>
      </c>
      <c r="I10" s="8" t="s">
        <v>220</v>
      </c>
      <c r="J10" s="8" t="s">
        <v>221</v>
      </c>
      <c r="K10" s="7"/>
      <c r="L10" s="11"/>
      <c r="M10" s="11"/>
      <c r="N10" s="7"/>
    </row>
    <row r="11">
      <c r="A11" s="12" t="s">
        <v>222</v>
      </c>
      <c r="B11" s="12" t="s">
        <v>95</v>
      </c>
      <c r="C11" s="8" t="s">
        <v>223</v>
      </c>
      <c r="D11" s="12" t="s">
        <v>85</v>
      </c>
      <c r="E11" s="12" t="s">
        <v>63</v>
      </c>
      <c r="F11" s="12" t="s">
        <v>64</v>
      </c>
      <c r="G11" s="8" t="s">
        <v>211</v>
      </c>
      <c r="H11" s="8" t="s">
        <v>175</v>
      </c>
      <c r="I11" s="8" t="s">
        <v>224</v>
      </c>
      <c r="J11" s="8" t="s">
        <v>225</v>
      </c>
      <c r="K11" s="7"/>
      <c r="L11" s="11"/>
      <c r="M11" s="11"/>
      <c r="N11" s="7"/>
    </row>
    <row r="12">
      <c r="A12" s="12" t="s">
        <v>226</v>
      </c>
      <c r="B12" s="12" t="s">
        <v>98</v>
      </c>
      <c r="C12" s="8" t="s">
        <v>227</v>
      </c>
      <c r="D12" s="12" t="s">
        <v>85</v>
      </c>
      <c r="E12" s="12" t="s">
        <v>63</v>
      </c>
      <c r="F12" s="12" t="s">
        <v>87</v>
      </c>
      <c r="G12" s="8" t="s">
        <v>211</v>
      </c>
      <c r="H12" s="8" t="s">
        <v>175</v>
      </c>
      <c r="I12" s="8" t="s">
        <v>228</v>
      </c>
      <c r="J12" s="8" t="s">
        <v>229</v>
      </c>
      <c r="K12" s="7"/>
      <c r="L12" s="11"/>
      <c r="M12" s="11"/>
      <c r="N12" s="7"/>
    </row>
    <row r="13">
      <c r="A13" s="12" t="s">
        <v>230</v>
      </c>
      <c r="B13" s="12" t="s">
        <v>101</v>
      </c>
      <c r="C13" s="8" t="s">
        <v>231</v>
      </c>
      <c r="D13" s="12" t="s">
        <v>85</v>
      </c>
      <c r="E13" s="12" t="s">
        <v>63</v>
      </c>
      <c r="F13" s="12" t="s">
        <v>87</v>
      </c>
      <c r="G13" s="8" t="s">
        <v>211</v>
      </c>
      <c r="H13" s="8" t="s">
        <v>175</v>
      </c>
      <c r="I13" s="24" t="s">
        <v>175</v>
      </c>
      <c r="J13" s="8" t="s">
        <v>232</v>
      </c>
      <c r="K13" s="7"/>
      <c r="L13" s="11"/>
      <c r="M13" s="11"/>
      <c r="N13" s="7"/>
    </row>
    <row r="14">
      <c r="A14" s="12" t="s">
        <v>233</v>
      </c>
      <c r="B14" s="12" t="s">
        <v>104</v>
      </c>
      <c r="C14" s="8" t="s">
        <v>234</v>
      </c>
      <c r="D14" s="12" t="s">
        <v>85</v>
      </c>
      <c r="E14" s="12" t="s">
        <v>63</v>
      </c>
      <c r="F14" s="12" t="s">
        <v>64</v>
      </c>
      <c r="G14" s="8" t="s">
        <v>211</v>
      </c>
      <c r="H14" s="25" t="s">
        <v>175</v>
      </c>
      <c r="I14" s="26" t="s">
        <v>235</v>
      </c>
      <c r="J14" s="27" t="s">
        <v>236</v>
      </c>
      <c r="K14" s="7"/>
      <c r="L14" s="11"/>
      <c r="M14" s="11"/>
      <c r="N14" s="7"/>
    </row>
    <row r="15">
      <c r="A15" s="12" t="s">
        <v>237</v>
      </c>
      <c r="B15" s="12" t="s">
        <v>107</v>
      </c>
      <c r="C15" s="8" t="s">
        <v>238</v>
      </c>
      <c r="D15" s="12" t="s">
        <v>85</v>
      </c>
      <c r="E15" s="12" t="s">
        <v>63</v>
      </c>
      <c r="F15" s="12" t="s">
        <v>87</v>
      </c>
      <c r="G15" s="8" t="s">
        <v>211</v>
      </c>
      <c r="H15" s="8" t="s">
        <v>175</v>
      </c>
      <c r="I15" s="26" t="s">
        <v>239</v>
      </c>
      <c r="J15" s="23" t="s">
        <v>240</v>
      </c>
      <c r="K15" s="7"/>
      <c r="L15" s="11"/>
      <c r="M15" s="11"/>
      <c r="N15" s="7"/>
    </row>
    <row r="16">
      <c r="A16" s="12" t="s">
        <v>241</v>
      </c>
      <c r="B16" s="12" t="s">
        <v>110</v>
      </c>
      <c r="C16" s="8" t="s">
        <v>242</v>
      </c>
      <c r="D16" s="12" t="s">
        <v>85</v>
      </c>
      <c r="E16" s="12" t="s">
        <v>63</v>
      </c>
      <c r="F16" s="12" t="s">
        <v>64</v>
      </c>
      <c r="G16" s="8" t="s">
        <v>211</v>
      </c>
      <c r="H16" s="8" t="s">
        <v>175</v>
      </c>
      <c r="I16" s="8" t="s">
        <v>243</v>
      </c>
      <c r="J16" s="22" t="s">
        <v>244</v>
      </c>
      <c r="K16" s="7"/>
      <c r="L16" s="11"/>
      <c r="M16" s="11"/>
      <c r="N16" s="7"/>
    </row>
    <row r="17">
      <c r="A17" s="12" t="s">
        <v>245</v>
      </c>
      <c r="B17" s="12" t="s">
        <v>113</v>
      </c>
      <c r="C17" s="8" t="s">
        <v>246</v>
      </c>
      <c r="D17" s="12" t="s">
        <v>85</v>
      </c>
      <c r="E17" s="12" t="s">
        <v>63</v>
      </c>
      <c r="F17" s="12" t="s">
        <v>64</v>
      </c>
      <c r="G17" s="8" t="s">
        <v>247</v>
      </c>
      <c r="H17" s="8" t="s">
        <v>248</v>
      </c>
      <c r="I17" s="8" t="s">
        <v>249</v>
      </c>
      <c r="J17" s="8" t="s">
        <v>250</v>
      </c>
      <c r="K17" s="7"/>
      <c r="L17" s="11"/>
      <c r="M17" s="11"/>
      <c r="N17" s="7"/>
    </row>
    <row r="18">
      <c r="A18" s="12" t="s">
        <v>251</v>
      </c>
      <c r="B18" s="12" t="s">
        <v>116</v>
      </c>
      <c r="C18" s="8" t="s">
        <v>252</v>
      </c>
      <c r="D18" s="12" t="s">
        <v>85</v>
      </c>
      <c r="E18" s="12" t="s">
        <v>63</v>
      </c>
      <c r="F18" s="12" t="s">
        <v>64</v>
      </c>
      <c r="G18" s="8" t="s">
        <v>247</v>
      </c>
      <c r="H18" s="8" t="s">
        <v>248</v>
      </c>
      <c r="I18" s="8" t="s">
        <v>253</v>
      </c>
      <c r="J18" s="8" t="s">
        <v>254</v>
      </c>
      <c r="K18" s="7"/>
      <c r="L18" s="11"/>
      <c r="M18" s="11"/>
      <c r="N18" s="7"/>
    </row>
    <row r="19">
      <c r="A19" s="12" t="s">
        <v>255</v>
      </c>
      <c r="B19" s="12" t="s">
        <v>122</v>
      </c>
      <c r="C19" s="8" t="s">
        <v>256</v>
      </c>
      <c r="D19" s="12" t="s">
        <v>85</v>
      </c>
      <c r="E19" s="12" t="s">
        <v>63</v>
      </c>
      <c r="F19" s="12" t="s">
        <v>87</v>
      </c>
      <c r="G19" s="8" t="s">
        <v>247</v>
      </c>
      <c r="H19" s="8" t="s">
        <v>248</v>
      </c>
      <c r="I19" s="8" t="s">
        <v>257</v>
      </c>
      <c r="J19" s="28" t="s">
        <v>258</v>
      </c>
      <c r="K19" s="7"/>
      <c r="L19" s="11"/>
      <c r="M19" s="11"/>
      <c r="N19" s="7"/>
    </row>
    <row r="20">
      <c r="A20" s="12" t="s">
        <v>259</v>
      </c>
      <c r="B20" s="12" t="s">
        <v>126</v>
      </c>
      <c r="C20" s="23" t="s">
        <v>260</v>
      </c>
      <c r="D20" s="12" t="s">
        <v>261</v>
      </c>
      <c r="E20" s="12" t="s">
        <v>63</v>
      </c>
      <c r="F20" s="12" t="s">
        <v>64</v>
      </c>
      <c r="G20" s="8" t="s">
        <v>211</v>
      </c>
      <c r="H20" s="8" t="s">
        <v>175</v>
      </c>
      <c r="I20" s="8" t="s">
        <v>262</v>
      </c>
      <c r="J20" s="8" t="s">
        <v>263</v>
      </c>
      <c r="K20" s="7"/>
      <c r="L20" s="11"/>
      <c r="M20" s="11"/>
      <c r="N20" s="7"/>
    </row>
    <row r="21" ht="15.75" customHeight="1">
      <c r="A21" s="12" t="s">
        <v>264</v>
      </c>
      <c r="B21" s="12" t="s">
        <v>129</v>
      </c>
      <c r="C21" s="8" t="s">
        <v>265</v>
      </c>
      <c r="D21" s="12" t="s">
        <v>261</v>
      </c>
      <c r="E21" s="12" t="s">
        <v>63</v>
      </c>
      <c r="F21" s="12" t="s">
        <v>64</v>
      </c>
      <c r="G21" s="8" t="s">
        <v>211</v>
      </c>
      <c r="H21" s="8" t="s">
        <v>175</v>
      </c>
      <c r="I21" s="8" t="s">
        <v>266</v>
      </c>
      <c r="J21" s="8" t="s">
        <v>267</v>
      </c>
      <c r="K21" s="7"/>
      <c r="L21" s="11"/>
      <c r="M21" s="11"/>
      <c r="N21" s="7"/>
    </row>
    <row r="22" ht="15.75" customHeight="1">
      <c r="A22" s="12" t="s">
        <v>268</v>
      </c>
      <c r="B22" s="12" t="s">
        <v>132</v>
      </c>
      <c r="C22" s="8" t="s">
        <v>269</v>
      </c>
      <c r="D22" s="12" t="s">
        <v>261</v>
      </c>
      <c r="E22" s="12" t="s">
        <v>63</v>
      </c>
      <c r="F22" s="12" t="s">
        <v>64</v>
      </c>
      <c r="G22" s="8" t="s">
        <v>211</v>
      </c>
      <c r="H22" s="8" t="s">
        <v>175</v>
      </c>
      <c r="I22" s="8" t="s">
        <v>270</v>
      </c>
      <c r="J22" s="8" t="s">
        <v>271</v>
      </c>
      <c r="K22" s="7"/>
      <c r="L22" s="11"/>
      <c r="M22" s="11"/>
      <c r="N22" s="7"/>
    </row>
    <row r="23" ht="15.75" customHeight="1">
      <c r="A23" s="12" t="s">
        <v>272</v>
      </c>
      <c r="B23" s="12" t="s">
        <v>135</v>
      </c>
      <c r="C23" s="8" t="s">
        <v>273</v>
      </c>
      <c r="D23" s="12" t="s">
        <v>261</v>
      </c>
      <c r="E23" s="12" t="s">
        <v>70</v>
      </c>
      <c r="F23" s="12" t="s">
        <v>87</v>
      </c>
      <c r="G23" s="8" t="s">
        <v>211</v>
      </c>
      <c r="H23" s="8" t="s">
        <v>175</v>
      </c>
      <c r="I23" s="8" t="s">
        <v>274</v>
      </c>
      <c r="J23" s="8" t="s">
        <v>275</v>
      </c>
      <c r="K23" s="7"/>
      <c r="L23" s="11"/>
      <c r="M23" s="11"/>
      <c r="N23" s="7"/>
    </row>
    <row r="24" ht="15.75" customHeight="1">
      <c r="A24" s="12" t="s">
        <v>276</v>
      </c>
      <c r="B24" s="12" t="s">
        <v>138</v>
      </c>
      <c r="C24" s="8" t="s">
        <v>277</v>
      </c>
      <c r="D24" s="12" t="s">
        <v>261</v>
      </c>
      <c r="E24" s="12" t="s">
        <v>63</v>
      </c>
      <c r="F24" s="12" t="s">
        <v>144</v>
      </c>
      <c r="G24" s="8" t="s">
        <v>211</v>
      </c>
      <c r="H24" s="8" t="s">
        <v>175</v>
      </c>
      <c r="I24" s="8" t="s">
        <v>278</v>
      </c>
      <c r="J24" s="8" t="s">
        <v>279</v>
      </c>
      <c r="K24" s="7"/>
      <c r="L24" s="11"/>
      <c r="M24" s="11"/>
      <c r="N24" s="7"/>
    </row>
    <row r="25" ht="15.75" customHeight="1">
      <c r="A25" s="12" t="s">
        <v>280</v>
      </c>
      <c r="B25" s="12" t="s">
        <v>141</v>
      </c>
      <c r="C25" s="8" t="s">
        <v>281</v>
      </c>
      <c r="D25" s="12" t="s">
        <v>261</v>
      </c>
      <c r="E25" s="12" t="s">
        <v>63</v>
      </c>
      <c r="F25" s="12" t="s">
        <v>64</v>
      </c>
      <c r="G25" s="8" t="s">
        <v>211</v>
      </c>
      <c r="H25" s="8" t="s">
        <v>175</v>
      </c>
      <c r="I25" s="8" t="s">
        <v>282</v>
      </c>
      <c r="J25" s="8" t="s">
        <v>283</v>
      </c>
      <c r="K25" s="7"/>
      <c r="L25" s="11"/>
      <c r="M25" s="11"/>
      <c r="N25" s="7"/>
    </row>
    <row r="26" ht="15.75" customHeight="1">
      <c r="A26" s="12" t="s">
        <v>284</v>
      </c>
      <c r="B26" s="12" t="s">
        <v>146</v>
      </c>
      <c r="C26" s="8" t="s">
        <v>285</v>
      </c>
      <c r="D26" s="12" t="s">
        <v>147</v>
      </c>
      <c r="E26" s="12" t="s">
        <v>63</v>
      </c>
      <c r="F26" s="12" t="s">
        <v>64</v>
      </c>
      <c r="G26" s="8" t="s">
        <v>286</v>
      </c>
      <c r="H26" s="8" t="s">
        <v>287</v>
      </c>
      <c r="I26" s="8" t="s">
        <v>288</v>
      </c>
      <c r="J26" s="8" t="s">
        <v>289</v>
      </c>
      <c r="K26" s="7"/>
      <c r="L26" s="11"/>
      <c r="M26" s="11"/>
      <c r="N26" s="7"/>
    </row>
    <row r="27" ht="15.75" customHeight="1">
      <c r="A27" s="12" t="s">
        <v>290</v>
      </c>
      <c r="B27" s="29" t="s">
        <v>150</v>
      </c>
      <c r="C27" s="8" t="s">
        <v>291</v>
      </c>
      <c r="D27" s="12" t="s">
        <v>147</v>
      </c>
      <c r="E27" s="12" t="s">
        <v>70</v>
      </c>
      <c r="F27" s="12" t="s">
        <v>64</v>
      </c>
      <c r="G27" s="8" t="s">
        <v>292</v>
      </c>
      <c r="H27" s="8" t="s">
        <v>293</v>
      </c>
      <c r="I27" s="8" t="s">
        <v>294</v>
      </c>
      <c r="J27" s="8" t="s">
        <v>295</v>
      </c>
      <c r="K27" s="7"/>
      <c r="L27" s="11"/>
      <c r="M27" s="11"/>
      <c r="N27" s="7"/>
    </row>
    <row r="28" ht="15.75" customHeight="1">
      <c r="A28" s="12" t="s">
        <v>296</v>
      </c>
      <c r="B28" s="12" t="s">
        <v>153</v>
      </c>
      <c r="C28" s="8" t="s">
        <v>297</v>
      </c>
      <c r="D28" s="12" t="s">
        <v>147</v>
      </c>
      <c r="E28" s="12" t="s">
        <v>70</v>
      </c>
      <c r="F28" s="12" t="s">
        <v>64</v>
      </c>
      <c r="G28" s="8" t="s">
        <v>292</v>
      </c>
      <c r="H28" s="8" t="s">
        <v>298</v>
      </c>
      <c r="I28" s="8" t="s">
        <v>299</v>
      </c>
      <c r="J28" s="8" t="s">
        <v>300</v>
      </c>
      <c r="K28" s="7"/>
      <c r="L28" s="11"/>
      <c r="M28" s="11"/>
      <c r="N28" s="7"/>
    </row>
    <row r="29" ht="15.75" customHeight="1">
      <c r="A29" s="12" t="s">
        <v>301</v>
      </c>
      <c r="B29" s="12" t="s">
        <v>156</v>
      </c>
      <c r="C29" s="8" t="s">
        <v>302</v>
      </c>
      <c r="D29" s="30" t="s">
        <v>147</v>
      </c>
      <c r="E29" s="12" t="s">
        <v>70</v>
      </c>
      <c r="F29" s="12" t="s">
        <v>64</v>
      </c>
      <c r="G29" s="8" t="s">
        <v>292</v>
      </c>
      <c r="H29" s="8" t="s">
        <v>303</v>
      </c>
      <c r="I29" s="23" t="s">
        <v>304</v>
      </c>
      <c r="J29" s="8" t="s">
        <v>305</v>
      </c>
      <c r="K29" s="7"/>
      <c r="L29" s="11"/>
      <c r="M29" s="11"/>
      <c r="N29" s="7"/>
    </row>
    <row r="30" ht="15.75" customHeight="1">
      <c r="A30" s="12" t="s">
        <v>306</v>
      </c>
      <c r="B30" s="12" t="s">
        <v>159</v>
      </c>
      <c r="C30" s="8" t="s">
        <v>307</v>
      </c>
      <c r="D30" s="12" t="s">
        <v>147</v>
      </c>
      <c r="E30" s="12" t="s">
        <v>70</v>
      </c>
      <c r="F30" s="12" t="s">
        <v>64</v>
      </c>
      <c r="G30" s="8" t="s">
        <v>308</v>
      </c>
      <c r="H30" s="8" t="s">
        <v>309</v>
      </c>
      <c r="I30" s="8" t="s">
        <v>310</v>
      </c>
      <c r="J30" s="8" t="s">
        <v>311</v>
      </c>
      <c r="K30" s="7"/>
      <c r="L30" s="11"/>
      <c r="M30" s="11"/>
      <c r="N30" s="7"/>
    </row>
    <row r="31" ht="15.75" customHeight="1">
      <c r="A31" s="12" t="s">
        <v>312</v>
      </c>
      <c r="B31" s="12" t="s">
        <v>313</v>
      </c>
      <c r="C31" s="8" t="s">
        <v>314</v>
      </c>
      <c r="D31" s="12" t="s">
        <v>147</v>
      </c>
      <c r="E31" s="12" t="s">
        <v>70</v>
      </c>
      <c r="F31" s="12" t="s">
        <v>64</v>
      </c>
      <c r="G31" s="31" t="s">
        <v>315</v>
      </c>
      <c r="H31" s="8" t="s">
        <v>175</v>
      </c>
      <c r="I31" s="8" t="s">
        <v>316</v>
      </c>
      <c r="J31" s="8" t="s">
        <v>317</v>
      </c>
      <c r="K31" s="7"/>
      <c r="L31" s="11"/>
      <c r="M31" s="11"/>
      <c r="N31" s="7"/>
    </row>
    <row r="32" ht="15.75" customHeight="1">
      <c r="A32" s="12" t="s">
        <v>318</v>
      </c>
      <c r="B32" s="12" t="s">
        <v>319</v>
      </c>
      <c r="C32" s="8" t="s">
        <v>320</v>
      </c>
      <c r="D32" s="12" t="s">
        <v>147</v>
      </c>
      <c r="E32" s="12" t="s">
        <v>63</v>
      </c>
      <c r="F32" s="12" t="s">
        <v>87</v>
      </c>
      <c r="G32" s="8" t="s">
        <v>321</v>
      </c>
      <c r="H32" s="8" t="s">
        <v>175</v>
      </c>
      <c r="I32" s="8" t="s">
        <v>322</v>
      </c>
      <c r="J32" s="31" t="s">
        <v>323</v>
      </c>
      <c r="K32" s="7"/>
      <c r="L32" s="11"/>
      <c r="M32" s="11"/>
      <c r="N32" s="7"/>
    </row>
    <row r="33" ht="15.75" customHeight="1">
      <c r="A33" s="11"/>
      <c r="B33" s="11"/>
      <c r="C33" s="7"/>
      <c r="D33" s="11"/>
      <c r="E33" s="11"/>
      <c r="F33" s="11"/>
      <c r="G33" s="7"/>
      <c r="H33" s="7"/>
      <c r="I33" s="7"/>
      <c r="J33" s="7"/>
      <c r="K33" s="7"/>
      <c r="L33" s="11"/>
      <c r="M33" s="11"/>
      <c r="N33" s="7"/>
    </row>
    <row r="34" ht="15.75" customHeight="1">
      <c r="A34" s="11"/>
      <c r="B34" s="11"/>
      <c r="C34" s="7"/>
      <c r="D34" s="11"/>
      <c r="E34" s="11"/>
      <c r="F34" s="11"/>
      <c r="G34" s="7"/>
      <c r="H34" s="7"/>
      <c r="I34" s="7"/>
      <c r="J34" s="7"/>
      <c r="K34" s="7"/>
      <c r="L34" s="11"/>
      <c r="M34" s="11"/>
      <c r="N34" s="7"/>
    </row>
    <row r="35" ht="15.75" customHeight="1">
      <c r="A35" s="11"/>
      <c r="B35" s="11"/>
      <c r="C35" s="7"/>
      <c r="D35" s="11"/>
      <c r="E35" s="11"/>
      <c r="F35" s="11"/>
      <c r="G35" s="7"/>
      <c r="H35" s="7"/>
      <c r="I35" s="7"/>
      <c r="J35" s="7"/>
      <c r="K35" s="7"/>
      <c r="L35" s="11"/>
      <c r="M35" s="11"/>
      <c r="N35" s="7"/>
    </row>
    <row r="36" ht="15.75" customHeight="1">
      <c r="A36" s="11"/>
      <c r="B36" s="11"/>
      <c r="C36" s="7"/>
      <c r="D36" s="11"/>
      <c r="E36" s="11"/>
      <c r="F36" s="11"/>
      <c r="G36" s="7"/>
      <c r="H36" s="7"/>
      <c r="I36" s="7"/>
      <c r="J36" s="7"/>
      <c r="K36" s="7"/>
      <c r="L36" s="11"/>
      <c r="M36" s="11"/>
      <c r="N36" s="7"/>
    </row>
    <row r="37" ht="15.75" customHeight="1">
      <c r="A37" s="11"/>
      <c r="B37" s="11"/>
      <c r="C37" s="7"/>
      <c r="D37" s="11"/>
      <c r="E37" s="11"/>
      <c r="F37" s="11"/>
      <c r="G37" s="7"/>
      <c r="H37" s="7"/>
      <c r="I37" s="7"/>
      <c r="J37" s="7"/>
      <c r="K37" s="7"/>
      <c r="L37" s="11"/>
      <c r="M37" s="11"/>
      <c r="N37" s="7"/>
    </row>
    <row r="38" ht="15.75" customHeight="1">
      <c r="A38" s="11"/>
      <c r="B38" s="11"/>
      <c r="C38" s="7"/>
      <c r="D38" s="11"/>
      <c r="E38" s="11"/>
      <c r="F38" s="11"/>
      <c r="G38" s="7"/>
      <c r="H38" s="7"/>
      <c r="I38" s="7"/>
      <c r="J38" s="7"/>
      <c r="K38" s="7"/>
      <c r="L38" s="11"/>
      <c r="M38" s="11"/>
      <c r="N38" s="7"/>
    </row>
    <row r="39" ht="15.75" customHeight="1">
      <c r="A39" s="11"/>
      <c r="B39" s="11"/>
      <c r="C39" s="7"/>
      <c r="D39" s="11"/>
      <c r="E39" s="11"/>
      <c r="F39" s="11"/>
      <c r="G39" s="7"/>
      <c r="H39" s="7"/>
      <c r="I39" s="7"/>
      <c r="J39" s="7"/>
      <c r="K39" s="7"/>
      <c r="L39" s="11"/>
      <c r="M39" s="11"/>
      <c r="N39" s="7"/>
    </row>
    <row r="40" ht="15.75" customHeight="1">
      <c r="A40" s="11"/>
      <c r="B40" s="11"/>
      <c r="C40" s="7"/>
      <c r="D40" s="11"/>
      <c r="E40" s="11"/>
      <c r="F40" s="11"/>
      <c r="G40" s="7"/>
      <c r="H40" s="7"/>
      <c r="I40" s="7"/>
      <c r="J40" s="7"/>
      <c r="K40" s="7"/>
      <c r="L40" s="11"/>
      <c r="M40" s="11"/>
      <c r="N40" s="7"/>
    </row>
    <row r="41" ht="15.75" customHeight="1">
      <c r="E41" s="19"/>
      <c r="F41" s="19"/>
      <c r="L41" s="19"/>
    </row>
    <row r="42" ht="15.75" customHeight="1">
      <c r="E42" s="19"/>
      <c r="F42" s="19"/>
      <c r="L42" s="19"/>
    </row>
    <row r="43" ht="15.75" customHeight="1">
      <c r="E43" s="19"/>
      <c r="F43" s="19"/>
      <c r="L43" s="19"/>
    </row>
    <row r="44" ht="15.75" customHeight="1">
      <c r="E44" s="19"/>
      <c r="F44" s="19"/>
      <c r="L44" s="19"/>
    </row>
    <row r="45" ht="15.75" customHeight="1">
      <c r="E45" s="19"/>
      <c r="F45" s="19"/>
      <c r="L45" s="19"/>
    </row>
    <row r="46" ht="15.75" customHeight="1">
      <c r="E46" s="19"/>
      <c r="F46" s="19"/>
      <c r="L46" s="19"/>
    </row>
    <row r="47" ht="15.75" customHeight="1">
      <c r="E47" s="19"/>
      <c r="F47" s="19"/>
      <c r="L47" s="19"/>
    </row>
    <row r="48" ht="15.75" customHeight="1">
      <c r="E48" s="19"/>
      <c r="F48" s="19"/>
      <c r="L48" s="19"/>
    </row>
    <row r="49" ht="15.75" customHeight="1">
      <c r="E49" s="19"/>
      <c r="F49" s="19"/>
      <c r="L49" s="19"/>
    </row>
    <row r="50" ht="15.75" customHeight="1">
      <c r="E50" s="19"/>
      <c r="F50" s="19"/>
      <c r="L50" s="19"/>
    </row>
    <row r="51" ht="15.75" customHeight="1">
      <c r="E51" s="19"/>
      <c r="F51" s="19"/>
      <c r="L51" s="19"/>
    </row>
    <row r="52" ht="15.75" customHeight="1">
      <c r="E52" s="19"/>
      <c r="F52" s="19"/>
      <c r="L52" s="19"/>
    </row>
    <row r="53" ht="15.75" customHeight="1">
      <c r="E53" s="19"/>
      <c r="F53" s="19"/>
      <c r="L53" s="19"/>
    </row>
    <row r="54" ht="15.75" customHeight="1">
      <c r="E54" s="19"/>
      <c r="F54" s="19"/>
      <c r="L54" s="19"/>
    </row>
    <row r="55" ht="15.75" customHeight="1">
      <c r="E55" s="19"/>
      <c r="F55" s="19"/>
      <c r="L55" s="19"/>
    </row>
    <row r="56" ht="15.75" customHeight="1">
      <c r="E56" s="19"/>
      <c r="F56" s="19"/>
      <c r="L56" s="19"/>
    </row>
    <row r="57" ht="15.75" customHeight="1">
      <c r="E57" s="19"/>
      <c r="F57" s="19"/>
      <c r="L57" s="19"/>
    </row>
    <row r="58" ht="15.75" customHeight="1">
      <c r="E58" s="19"/>
      <c r="F58" s="19"/>
      <c r="L58" s="19"/>
    </row>
    <row r="59" ht="15.75" customHeight="1">
      <c r="E59" s="19"/>
      <c r="F59" s="19"/>
      <c r="L59" s="19"/>
    </row>
    <row r="60" ht="15.75" customHeight="1">
      <c r="E60" s="19"/>
      <c r="F60" s="19"/>
      <c r="L60" s="19"/>
    </row>
    <row r="61" ht="15.75" customHeight="1">
      <c r="E61" s="19"/>
      <c r="F61" s="19"/>
      <c r="L61" s="19"/>
    </row>
    <row r="62" ht="15.75" customHeight="1">
      <c r="E62" s="19"/>
      <c r="F62" s="19"/>
      <c r="L62" s="19"/>
    </row>
    <row r="63" ht="15.75" customHeight="1">
      <c r="E63" s="19"/>
      <c r="F63" s="19"/>
      <c r="L63" s="19"/>
    </row>
    <row r="64" ht="15.75" customHeight="1">
      <c r="E64" s="19"/>
      <c r="F64" s="19"/>
      <c r="L64" s="19"/>
    </row>
    <row r="65" ht="15.75" customHeight="1">
      <c r="E65" s="19"/>
      <c r="F65" s="19"/>
      <c r="L65" s="19"/>
    </row>
    <row r="66" ht="15.75" customHeight="1">
      <c r="E66" s="19"/>
      <c r="F66" s="19"/>
      <c r="L66" s="19"/>
    </row>
    <row r="67" ht="15.75" customHeight="1">
      <c r="E67" s="19"/>
      <c r="F67" s="19"/>
      <c r="L67" s="19"/>
    </row>
    <row r="68" ht="15.75" customHeight="1">
      <c r="E68" s="19"/>
      <c r="F68" s="19"/>
      <c r="L68" s="19"/>
    </row>
    <row r="69" ht="15.75" customHeight="1">
      <c r="E69" s="19"/>
      <c r="F69" s="19"/>
      <c r="L69" s="19"/>
    </row>
    <row r="70" ht="15.75" customHeight="1">
      <c r="E70" s="19"/>
      <c r="F70" s="19"/>
      <c r="L70" s="19"/>
    </row>
    <row r="71" ht="15.75" customHeight="1">
      <c r="E71" s="19"/>
      <c r="F71" s="19"/>
      <c r="L71" s="19"/>
    </row>
    <row r="72" ht="15.75" customHeight="1">
      <c r="E72" s="19"/>
      <c r="F72" s="19"/>
      <c r="L72" s="19"/>
    </row>
    <row r="73" ht="15.75" customHeight="1">
      <c r="E73" s="19"/>
      <c r="F73" s="19"/>
      <c r="L73" s="19"/>
    </row>
    <row r="74" ht="15.75" customHeight="1">
      <c r="E74" s="19"/>
      <c r="F74" s="19"/>
      <c r="L74" s="19"/>
    </row>
    <row r="75" ht="15.75" customHeight="1">
      <c r="E75" s="19"/>
      <c r="F75" s="19"/>
      <c r="L75" s="19"/>
    </row>
    <row r="76" ht="15.75" customHeight="1">
      <c r="E76" s="19"/>
      <c r="F76" s="19"/>
      <c r="L76" s="19"/>
    </row>
    <row r="77" ht="15.75" customHeight="1">
      <c r="E77" s="19"/>
      <c r="F77" s="19"/>
      <c r="L77" s="19"/>
    </row>
    <row r="78" ht="15.75" customHeight="1">
      <c r="E78" s="19"/>
      <c r="F78" s="19"/>
      <c r="L78" s="19"/>
    </row>
    <row r="79" ht="15.75" customHeight="1">
      <c r="E79" s="19"/>
      <c r="F79" s="19"/>
      <c r="L79" s="19"/>
    </row>
    <row r="80" ht="15.75" customHeight="1">
      <c r="E80" s="19"/>
      <c r="F80" s="19"/>
      <c r="L80" s="19"/>
    </row>
    <row r="81" ht="15.75" customHeight="1">
      <c r="E81" s="19"/>
      <c r="F81" s="19"/>
      <c r="L81" s="19"/>
    </row>
    <row r="82" ht="15.75" customHeight="1">
      <c r="E82" s="19"/>
      <c r="F82" s="19"/>
      <c r="L82" s="19"/>
    </row>
    <row r="83" ht="15.75" customHeight="1">
      <c r="E83" s="19"/>
      <c r="F83" s="19"/>
      <c r="L83" s="19"/>
    </row>
    <row r="84" ht="15.75" customHeight="1">
      <c r="E84" s="19"/>
      <c r="F84" s="19"/>
      <c r="L84" s="19"/>
    </row>
    <row r="85" ht="15.75" customHeight="1">
      <c r="E85" s="19"/>
      <c r="F85" s="19"/>
      <c r="L85" s="19"/>
    </row>
    <row r="86" ht="15.75" customHeight="1">
      <c r="E86" s="19"/>
      <c r="F86" s="19"/>
      <c r="L86" s="19"/>
    </row>
    <row r="87" ht="15.75" customHeight="1">
      <c r="E87" s="19"/>
      <c r="F87" s="19"/>
      <c r="L87" s="19"/>
    </row>
    <row r="88" ht="15.75" customHeight="1">
      <c r="E88" s="19"/>
      <c r="F88" s="19"/>
      <c r="L88" s="19"/>
    </row>
    <row r="89" ht="15.75" customHeight="1">
      <c r="E89" s="19"/>
      <c r="F89" s="19"/>
      <c r="L89" s="19"/>
    </row>
    <row r="90" ht="15.75" customHeight="1">
      <c r="E90" s="19"/>
      <c r="F90" s="19"/>
      <c r="L90" s="19"/>
    </row>
    <row r="91" ht="15.75" customHeight="1">
      <c r="E91" s="19"/>
      <c r="F91" s="19"/>
      <c r="L91" s="19"/>
    </row>
    <row r="92" ht="15.75" customHeight="1">
      <c r="E92" s="19"/>
      <c r="F92" s="19"/>
      <c r="L92" s="19"/>
    </row>
    <row r="93" ht="15.75" customHeight="1">
      <c r="E93" s="19"/>
      <c r="F93" s="19"/>
      <c r="L93" s="19"/>
    </row>
    <row r="94" ht="15.75" customHeight="1">
      <c r="E94" s="19"/>
      <c r="F94" s="19"/>
      <c r="L94" s="19"/>
    </row>
    <row r="95" ht="15.75" customHeight="1">
      <c r="E95" s="19"/>
      <c r="F95" s="19"/>
      <c r="L95" s="19"/>
    </row>
    <row r="96" ht="15.75" customHeight="1">
      <c r="E96" s="19"/>
      <c r="F96" s="19"/>
      <c r="L96" s="19"/>
    </row>
    <row r="97" ht="15.75" customHeight="1">
      <c r="E97" s="19"/>
      <c r="F97" s="19"/>
      <c r="L97" s="19"/>
    </row>
    <row r="98" ht="15.75" customHeight="1">
      <c r="E98" s="19"/>
      <c r="F98" s="19"/>
      <c r="L98" s="19"/>
    </row>
    <row r="99" ht="15.75" customHeight="1">
      <c r="E99" s="19"/>
      <c r="F99" s="19"/>
      <c r="L99" s="19"/>
    </row>
    <row r="100" ht="15.75" customHeight="1">
      <c r="E100" s="19"/>
      <c r="F100" s="19"/>
      <c r="L100" s="19"/>
    </row>
    <row r="101" ht="15.75" customHeight="1">
      <c r="E101" s="19"/>
      <c r="F101" s="19"/>
      <c r="L101" s="19"/>
    </row>
    <row r="102" ht="15.75" customHeight="1">
      <c r="E102" s="19"/>
      <c r="F102" s="19"/>
      <c r="L102" s="19"/>
    </row>
    <row r="103" ht="15.75" customHeight="1">
      <c r="E103" s="19"/>
      <c r="F103" s="19"/>
      <c r="L103" s="19"/>
    </row>
    <row r="104" ht="15.75" customHeight="1">
      <c r="E104" s="19"/>
      <c r="F104" s="19"/>
      <c r="L104" s="19"/>
    </row>
    <row r="105" ht="15.75" customHeight="1">
      <c r="E105" s="19"/>
      <c r="F105" s="19"/>
      <c r="L105" s="19"/>
    </row>
    <row r="106" ht="15.75" customHeight="1">
      <c r="E106" s="19"/>
      <c r="F106" s="19"/>
      <c r="L106" s="19"/>
    </row>
    <row r="107" ht="15.75" customHeight="1">
      <c r="E107" s="19"/>
      <c r="F107" s="19"/>
      <c r="L107" s="19"/>
    </row>
    <row r="108" ht="15.75" customHeight="1">
      <c r="E108" s="19"/>
      <c r="F108" s="19"/>
      <c r="L108" s="19"/>
    </row>
    <row r="109" ht="15.75" customHeight="1">
      <c r="E109" s="19"/>
      <c r="F109" s="19"/>
      <c r="L109" s="19"/>
    </row>
    <row r="110" ht="15.75" customHeight="1">
      <c r="E110" s="19"/>
      <c r="F110" s="19"/>
      <c r="L110" s="19"/>
    </row>
    <row r="111" ht="15.75" customHeight="1">
      <c r="E111" s="19"/>
      <c r="F111" s="19"/>
      <c r="L111" s="19"/>
    </row>
    <row r="112" ht="15.75" customHeight="1">
      <c r="E112" s="19"/>
      <c r="F112" s="19"/>
      <c r="L112" s="19"/>
    </row>
    <row r="113" ht="15.75" customHeight="1">
      <c r="E113" s="19"/>
      <c r="F113" s="19"/>
      <c r="L113" s="19"/>
    </row>
    <row r="114" ht="15.75" customHeight="1">
      <c r="E114" s="19"/>
      <c r="F114" s="19"/>
      <c r="L114" s="19"/>
    </row>
    <row r="115" ht="15.75" customHeight="1">
      <c r="E115" s="19"/>
      <c r="F115" s="19"/>
      <c r="L115" s="19"/>
    </row>
    <row r="116" ht="15.75" customHeight="1">
      <c r="E116" s="19"/>
      <c r="F116" s="19"/>
      <c r="L116" s="19"/>
    </row>
    <row r="117" ht="15.75" customHeight="1">
      <c r="E117" s="19"/>
      <c r="F117" s="19"/>
      <c r="L117" s="19"/>
    </row>
    <row r="118" ht="15.75" customHeight="1">
      <c r="E118" s="19"/>
      <c r="F118" s="19"/>
      <c r="L118" s="19"/>
    </row>
    <row r="119" ht="15.75" customHeight="1">
      <c r="E119" s="19"/>
      <c r="F119" s="19"/>
      <c r="L119" s="19"/>
    </row>
    <row r="120" ht="15.75" customHeight="1">
      <c r="E120" s="19"/>
      <c r="F120" s="19"/>
      <c r="L120" s="19"/>
    </row>
    <row r="121" ht="15.75" customHeight="1">
      <c r="E121" s="19"/>
      <c r="F121" s="19"/>
      <c r="L121" s="19"/>
    </row>
    <row r="122" ht="15.75" customHeight="1">
      <c r="E122" s="19"/>
      <c r="F122" s="19"/>
      <c r="L122" s="19"/>
    </row>
    <row r="123" ht="15.75" customHeight="1">
      <c r="E123" s="19"/>
      <c r="F123" s="19"/>
      <c r="L123" s="19"/>
    </row>
    <row r="124" ht="15.75" customHeight="1">
      <c r="E124" s="19"/>
      <c r="F124" s="19"/>
      <c r="L124" s="19"/>
    </row>
    <row r="125" ht="15.75" customHeight="1">
      <c r="E125" s="19"/>
      <c r="F125" s="19"/>
      <c r="L125" s="19"/>
    </row>
    <row r="126" ht="15.75" customHeight="1">
      <c r="E126" s="19"/>
      <c r="F126" s="19"/>
      <c r="L126" s="19"/>
    </row>
    <row r="127" ht="15.75" customHeight="1">
      <c r="E127" s="19"/>
      <c r="F127" s="19"/>
      <c r="L127" s="19"/>
    </row>
    <row r="128" ht="15.75" customHeight="1">
      <c r="E128" s="19"/>
      <c r="F128" s="19"/>
      <c r="L128" s="19"/>
    </row>
    <row r="129" ht="15.75" customHeight="1">
      <c r="E129" s="19"/>
      <c r="F129" s="19"/>
      <c r="L129" s="19"/>
    </row>
    <row r="130" ht="15.75" customHeight="1">
      <c r="E130" s="19"/>
      <c r="F130" s="19"/>
      <c r="L130" s="19"/>
    </row>
    <row r="131" ht="15.75" customHeight="1">
      <c r="E131" s="19"/>
      <c r="F131" s="19"/>
      <c r="L131" s="19"/>
    </row>
    <row r="132" ht="15.75" customHeight="1">
      <c r="E132" s="19"/>
      <c r="F132" s="19"/>
      <c r="L132" s="19"/>
    </row>
    <row r="133" ht="15.75" customHeight="1">
      <c r="E133" s="19"/>
      <c r="F133" s="19"/>
      <c r="L133" s="19"/>
    </row>
    <row r="134" ht="15.75" customHeight="1">
      <c r="E134" s="19"/>
      <c r="F134" s="19"/>
      <c r="L134" s="19"/>
    </row>
    <row r="135" ht="15.75" customHeight="1">
      <c r="E135" s="19"/>
      <c r="F135" s="19"/>
      <c r="L135" s="19"/>
    </row>
    <row r="136" ht="15.75" customHeight="1">
      <c r="E136" s="19"/>
      <c r="F136" s="19"/>
      <c r="L136" s="19"/>
    </row>
    <row r="137" ht="15.75" customHeight="1">
      <c r="E137" s="19"/>
      <c r="F137" s="19"/>
      <c r="L137" s="19"/>
    </row>
    <row r="138" ht="15.75" customHeight="1">
      <c r="E138" s="19"/>
      <c r="F138" s="19"/>
      <c r="L138" s="19"/>
    </row>
    <row r="139" ht="15.75" customHeight="1">
      <c r="E139" s="19"/>
      <c r="F139" s="19"/>
      <c r="L139" s="19"/>
    </row>
    <row r="140" ht="15.75" customHeight="1">
      <c r="E140" s="19"/>
      <c r="F140" s="19"/>
      <c r="L140" s="19"/>
    </row>
    <row r="141" ht="15.75" customHeight="1">
      <c r="E141" s="19"/>
      <c r="F141" s="19"/>
      <c r="L141" s="19"/>
    </row>
    <row r="142" ht="15.75" customHeight="1">
      <c r="E142" s="19"/>
      <c r="F142" s="19"/>
      <c r="L142" s="19"/>
    </row>
    <row r="143" ht="15.75" customHeight="1">
      <c r="E143" s="19"/>
      <c r="F143" s="19"/>
      <c r="L143" s="19"/>
    </row>
    <row r="144" ht="15.75" customHeight="1">
      <c r="E144" s="19"/>
      <c r="F144" s="19"/>
      <c r="L144" s="19"/>
    </row>
    <row r="145" ht="15.75" customHeight="1">
      <c r="E145" s="19"/>
      <c r="F145" s="19"/>
      <c r="L145" s="19"/>
    </row>
    <row r="146" ht="15.75" customHeight="1">
      <c r="E146" s="19"/>
      <c r="F146" s="19"/>
      <c r="L146" s="19"/>
    </row>
    <row r="147" ht="15.75" customHeight="1">
      <c r="E147" s="19"/>
      <c r="F147" s="19"/>
      <c r="L147" s="19"/>
    </row>
    <row r="148" ht="15.75" customHeight="1">
      <c r="E148" s="19"/>
      <c r="F148" s="19"/>
      <c r="L148" s="19"/>
    </row>
    <row r="149" ht="15.75" customHeight="1">
      <c r="E149" s="19"/>
      <c r="F149" s="19"/>
      <c r="L149" s="19"/>
    </row>
    <row r="150" ht="15.75" customHeight="1">
      <c r="E150" s="19"/>
      <c r="F150" s="19"/>
      <c r="L150" s="19"/>
    </row>
    <row r="151" ht="15.75" customHeight="1">
      <c r="E151" s="19"/>
      <c r="F151" s="19"/>
      <c r="L151" s="19"/>
    </row>
    <row r="152" ht="15.75" customHeight="1">
      <c r="E152" s="19"/>
      <c r="F152" s="19"/>
      <c r="L152" s="19"/>
    </row>
    <row r="153" ht="15.75" customHeight="1">
      <c r="E153" s="19"/>
      <c r="F153" s="19"/>
      <c r="L153" s="19"/>
    </row>
    <row r="154" ht="15.75" customHeight="1">
      <c r="E154" s="19"/>
      <c r="F154" s="19"/>
      <c r="L154" s="19"/>
    </row>
    <row r="155" ht="15.75" customHeight="1">
      <c r="E155" s="19"/>
      <c r="F155" s="19"/>
      <c r="L155" s="19"/>
    </row>
    <row r="156" ht="15.75" customHeight="1">
      <c r="E156" s="19"/>
      <c r="F156" s="19"/>
      <c r="L156" s="19"/>
    </row>
    <row r="157" ht="15.75" customHeight="1">
      <c r="E157" s="19"/>
      <c r="F157" s="19"/>
      <c r="L157" s="19"/>
    </row>
    <row r="158" ht="15.75" customHeight="1">
      <c r="E158" s="19"/>
      <c r="F158" s="19"/>
      <c r="L158" s="19"/>
    </row>
    <row r="159" ht="15.75" customHeight="1">
      <c r="E159" s="19"/>
      <c r="F159" s="19"/>
      <c r="L159" s="19"/>
    </row>
    <row r="160" ht="15.75" customHeight="1">
      <c r="E160" s="19"/>
      <c r="F160" s="19"/>
      <c r="L160" s="19"/>
    </row>
    <row r="161" ht="15.75" customHeight="1">
      <c r="E161" s="19"/>
      <c r="F161" s="19"/>
      <c r="L161" s="19"/>
    </row>
    <row r="162" ht="15.75" customHeight="1">
      <c r="E162" s="19"/>
      <c r="F162" s="19"/>
      <c r="L162" s="19"/>
    </row>
    <row r="163" ht="15.75" customHeight="1">
      <c r="E163" s="19"/>
      <c r="F163" s="19"/>
      <c r="L163" s="19"/>
    </row>
    <row r="164" ht="15.75" customHeight="1">
      <c r="E164" s="19"/>
      <c r="F164" s="19"/>
      <c r="L164" s="19"/>
    </row>
    <row r="165" ht="15.75" customHeight="1">
      <c r="E165" s="19"/>
      <c r="F165" s="19"/>
      <c r="L165" s="19"/>
    </row>
    <row r="166" ht="15.75" customHeight="1">
      <c r="E166" s="19"/>
      <c r="F166" s="19"/>
      <c r="L166" s="19"/>
    </row>
    <row r="167" ht="15.75" customHeight="1">
      <c r="E167" s="19"/>
      <c r="F167" s="19"/>
      <c r="L167" s="19"/>
    </row>
    <row r="168" ht="15.75" customHeight="1">
      <c r="E168" s="19"/>
      <c r="F168" s="19"/>
      <c r="L168" s="19"/>
    </row>
    <row r="169" ht="15.75" customHeight="1">
      <c r="E169" s="19"/>
      <c r="F169" s="19"/>
      <c r="L169" s="19"/>
    </row>
    <row r="170" ht="15.75" customHeight="1">
      <c r="E170" s="19"/>
      <c r="F170" s="19"/>
      <c r="L170" s="19"/>
    </row>
    <row r="171" ht="15.75" customHeight="1">
      <c r="E171" s="19"/>
      <c r="F171" s="19"/>
      <c r="L171" s="19"/>
    </row>
    <row r="172" ht="15.75" customHeight="1">
      <c r="E172" s="19"/>
      <c r="F172" s="19"/>
      <c r="L172" s="19"/>
    </row>
    <row r="173" ht="15.75" customHeight="1">
      <c r="E173" s="19"/>
      <c r="F173" s="19"/>
      <c r="L173" s="19"/>
    </row>
    <row r="174" ht="15.75" customHeight="1">
      <c r="E174" s="19"/>
      <c r="F174" s="19"/>
      <c r="L174" s="19"/>
    </row>
    <row r="175" ht="15.75" customHeight="1">
      <c r="E175" s="19"/>
      <c r="F175" s="19"/>
      <c r="L175" s="19"/>
    </row>
    <row r="176" ht="15.75" customHeight="1">
      <c r="E176" s="19"/>
      <c r="F176" s="19"/>
      <c r="L176" s="19"/>
    </row>
    <row r="177" ht="15.75" customHeight="1">
      <c r="E177" s="19"/>
      <c r="F177" s="19"/>
      <c r="L177" s="19"/>
    </row>
    <row r="178" ht="15.75" customHeight="1">
      <c r="E178" s="19"/>
      <c r="F178" s="19"/>
      <c r="L178" s="19"/>
    </row>
    <row r="179" ht="15.75" customHeight="1">
      <c r="E179" s="19"/>
      <c r="F179" s="19"/>
      <c r="L179" s="19"/>
    </row>
    <row r="180" ht="15.75" customHeight="1">
      <c r="E180" s="19"/>
      <c r="F180" s="19"/>
      <c r="L180" s="19"/>
    </row>
    <row r="181" ht="15.75" customHeight="1">
      <c r="E181" s="19"/>
      <c r="F181" s="19"/>
      <c r="L181" s="19"/>
    </row>
    <row r="182" ht="15.75" customHeight="1">
      <c r="E182" s="19"/>
      <c r="F182" s="19"/>
      <c r="L182" s="19"/>
    </row>
    <row r="183" ht="15.75" customHeight="1">
      <c r="E183" s="19"/>
      <c r="F183" s="19"/>
      <c r="L183" s="19"/>
    </row>
    <row r="184" ht="15.75" customHeight="1">
      <c r="E184" s="19"/>
      <c r="F184" s="19"/>
      <c r="L184" s="19"/>
    </row>
    <row r="185" ht="15.75" customHeight="1">
      <c r="E185" s="19"/>
      <c r="F185" s="19"/>
      <c r="L185" s="19"/>
    </row>
    <row r="186" ht="15.75" customHeight="1">
      <c r="E186" s="19"/>
      <c r="F186" s="19"/>
      <c r="L186" s="19"/>
    </row>
    <row r="187" ht="15.75" customHeight="1">
      <c r="E187" s="19"/>
      <c r="F187" s="19"/>
      <c r="L187" s="19"/>
    </row>
    <row r="188" ht="15.75" customHeight="1">
      <c r="E188" s="19"/>
      <c r="F188" s="19"/>
      <c r="L188" s="19"/>
    </row>
    <row r="189" ht="15.75" customHeight="1">
      <c r="E189" s="19"/>
      <c r="F189" s="19"/>
      <c r="L189" s="19"/>
    </row>
    <row r="190" ht="15.75" customHeight="1">
      <c r="E190" s="19"/>
      <c r="F190" s="19"/>
      <c r="L190" s="19"/>
    </row>
    <row r="191" ht="15.75" customHeight="1">
      <c r="E191" s="19"/>
      <c r="F191" s="19"/>
      <c r="L191" s="19"/>
    </row>
    <row r="192" ht="15.75" customHeight="1">
      <c r="E192" s="19"/>
      <c r="F192" s="19"/>
      <c r="L192" s="19"/>
    </row>
    <row r="193" ht="15.75" customHeight="1">
      <c r="E193" s="19"/>
      <c r="F193" s="19"/>
      <c r="L193" s="19"/>
    </row>
    <row r="194" ht="15.75" customHeight="1">
      <c r="E194" s="19"/>
      <c r="F194" s="19"/>
      <c r="L194" s="19"/>
    </row>
    <row r="195" ht="15.75" customHeight="1">
      <c r="E195" s="19"/>
      <c r="F195" s="19"/>
      <c r="L195" s="19"/>
    </row>
    <row r="196" ht="15.75" customHeight="1">
      <c r="E196" s="19"/>
      <c r="F196" s="19"/>
      <c r="L196" s="19"/>
    </row>
    <row r="197" ht="15.75" customHeight="1">
      <c r="E197" s="19"/>
      <c r="F197" s="19"/>
      <c r="L197" s="19"/>
    </row>
    <row r="198" ht="15.75" customHeight="1">
      <c r="E198" s="19"/>
      <c r="F198" s="19"/>
      <c r="L198" s="19"/>
    </row>
    <row r="199" ht="15.75" customHeight="1">
      <c r="E199" s="19"/>
      <c r="F199" s="19"/>
      <c r="L199" s="19"/>
    </row>
    <row r="200" ht="15.75" customHeight="1">
      <c r="E200" s="19"/>
      <c r="F200" s="19"/>
      <c r="L200" s="19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"/>
  <dataValidations>
    <dataValidation type="list" allowBlank="1" sqref="L2:L200">
      <formula1>"Não Executado,Passou,Falhou,Bloqueado"</formula1>
    </dataValidation>
    <dataValidation type="list" allowBlank="1" sqref="E2:E200">
      <formula1>"Positivo,Negativo,Borda"</formula1>
    </dataValidation>
    <dataValidation type="list" allowBlank="1" sqref="F2:F200">
      <formula1>"Alta,Média,Baixa"</formula1>
    </dataValidation>
  </dataValidations>
  <hyperlinks>
    <hyperlink r:id="rId1" ref="G4"/>
    <hyperlink r:id="rId2" ref="G5"/>
    <hyperlink r:id="rId3" ref="G6"/>
    <hyperlink r:id="rId4" ref="G7"/>
  </hyperlinks>
  <printOptions/>
  <pageMargins bottom="1.0" footer="0.0" header="0.0" left="0.75" right="0.75" top="1.0"/>
  <pageSetup paperSize="9" orientation="portrait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30.0"/>
    <col customWidth="1" min="3" max="3" width="20.0"/>
    <col customWidth="1" min="4" max="4" width="12.0"/>
    <col customWidth="1" min="5" max="5" width="11.0"/>
    <col customWidth="1" min="6" max="6" width="14.0"/>
    <col customWidth="1" min="7" max="7" width="36.0"/>
    <col customWidth="1" min="8" max="9" width="26.0"/>
    <col customWidth="1" min="10" max="10" width="20.0"/>
    <col customWidth="1" min="11" max="13" width="14.0"/>
    <col customWidth="1" min="14" max="14" width="16.0"/>
    <col customWidth="1" min="15" max="26" width="8.71"/>
  </cols>
  <sheetData>
    <row r="1">
      <c r="A1" s="20" t="s">
        <v>52</v>
      </c>
      <c r="B1" s="20" t="s">
        <v>163</v>
      </c>
      <c r="C1" s="20" t="s">
        <v>324</v>
      </c>
      <c r="D1" s="20" t="s">
        <v>325</v>
      </c>
      <c r="E1" s="20" t="s">
        <v>56</v>
      </c>
      <c r="F1" s="20" t="s">
        <v>326</v>
      </c>
      <c r="G1" s="20" t="s">
        <v>327</v>
      </c>
      <c r="H1" s="20" t="s">
        <v>169</v>
      </c>
      <c r="I1" s="20" t="s">
        <v>168</v>
      </c>
      <c r="J1" s="20" t="s">
        <v>170</v>
      </c>
      <c r="K1" s="20" t="s">
        <v>59</v>
      </c>
      <c r="L1" s="20" t="s">
        <v>328</v>
      </c>
      <c r="M1" s="20" t="s">
        <v>329</v>
      </c>
      <c r="N1" s="20" t="s">
        <v>28</v>
      </c>
    </row>
    <row r="2" ht="69.75" customHeight="1">
      <c r="A2" s="32" t="s">
        <v>330</v>
      </c>
      <c r="B2" s="33" t="s">
        <v>331</v>
      </c>
      <c r="C2" s="32" t="s">
        <v>332</v>
      </c>
      <c r="D2" s="32" t="s">
        <v>333</v>
      </c>
      <c r="E2" s="32" t="s">
        <v>87</v>
      </c>
      <c r="F2" s="32" t="s">
        <v>66</v>
      </c>
      <c r="G2" s="33" t="s">
        <v>334</v>
      </c>
      <c r="H2" s="33" t="s">
        <v>335</v>
      </c>
      <c r="I2" s="33" t="s">
        <v>336</v>
      </c>
      <c r="J2" s="32"/>
      <c r="K2" s="32" t="s">
        <v>337</v>
      </c>
      <c r="L2" s="32"/>
      <c r="M2" s="32"/>
      <c r="N2" s="32" t="s">
        <v>338</v>
      </c>
    </row>
    <row r="3">
      <c r="A3" s="11"/>
      <c r="B3" s="7"/>
      <c r="C3" s="11"/>
      <c r="D3" s="11"/>
      <c r="E3" s="11"/>
      <c r="F3" s="11"/>
      <c r="G3" s="7"/>
      <c r="H3" s="7"/>
      <c r="I3" s="7"/>
      <c r="J3" s="11"/>
      <c r="K3" s="11"/>
      <c r="L3" s="11"/>
      <c r="M3" s="11"/>
      <c r="N3" s="11"/>
    </row>
    <row r="4">
      <c r="A4" s="11"/>
      <c r="B4" s="7"/>
      <c r="C4" s="11"/>
      <c r="D4" s="11"/>
      <c r="E4" s="11"/>
      <c r="F4" s="11"/>
      <c r="G4" s="7"/>
      <c r="H4" s="7"/>
      <c r="I4" s="7"/>
      <c r="J4" s="11"/>
      <c r="K4" s="11"/>
      <c r="L4" s="11"/>
      <c r="M4" s="11"/>
      <c r="N4" s="11"/>
    </row>
    <row r="5">
      <c r="A5" s="11"/>
      <c r="B5" s="7"/>
      <c r="C5" s="11"/>
      <c r="D5" s="11"/>
      <c r="E5" s="11"/>
      <c r="F5" s="11"/>
      <c r="G5" s="7"/>
      <c r="H5" s="7"/>
      <c r="I5" s="7"/>
      <c r="J5" s="11"/>
      <c r="K5" s="11"/>
      <c r="L5" s="11"/>
      <c r="M5" s="11"/>
      <c r="N5" s="11"/>
    </row>
    <row r="6">
      <c r="A6" s="11"/>
      <c r="B6" s="7"/>
      <c r="C6" s="11"/>
      <c r="D6" s="11"/>
      <c r="E6" s="11"/>
      <c r="F6" s="11"/>
      <c r="G6" s="7"/>
      <c r="H6" s="7"/>
      <c r="I6" s="7"/>
      <c r="J6" s="11"/>
      <c r="K6" s="11"/>
      <c r="L6" s="11"/>
      <c r="M6" s="11"/>
      <c r="N6" s="11"/>
    </row>
    <row r="7">
      <c r="A7" s="11"/>
      <c r="B7" s="7"/>
      <c r="C7" s="11"/>
      <c r="D7" s="11"/>
      <c r="E7" s="11"/>
      <c r="F7" s="11"/>
      <c r="G7" s="7"/>
      <c r="H7" s="7"/>
      <c r="I7" s="7"/>
      <c r="J7" s="11"/>
      <c r="K7" s="11"/>
      <c r="L7" s="11"/>
      <c r="M7" s="11"/>
      <c r="N7" s="11"/>
    </row>
    <row r="8">
      <c r="A8" s="11"/>
      <c r="B8" s="7"/>
      <c r="C8" s="11"/>
      <c r="D8" s="11"/>
      <c r="E8" s="11"/>
      <c r="F8" s="11"/>
      <c r="G8" s="7"/>
      <c r="H8" s="7"/>
      <c r="I8" s="7"/>
      <c r="J8" s="11"/>
      <c r="K8" s="11"/>
      <c r="L8" s="11"/>
      <c r="M8" s="11"/>
      <c r="N8" s="11"/>
    </row>
    <row r="9">
      <c r="A9" s="11"/>
      <c r="B9" s="7"/>
      <c r="C9" s="11"/>
      <c r="D9" s="11"/>
      <c r="E9" s="11"/>
      <c r="F9" s="11"/>
      <c r="G9" s="7"/>
      <c r="H9" s="7"/>
      <c r="I9" s="7"/>
      <c r="J9" s="11"/>
      <c r="K9" s="11"/>
      <c r="L9" s="11"/>
      <c r="M9" s="11"/>
      <c r="N9" s="11"/>
    </row>
    <row r="10">
      <c r="A10" s="11"/>
      <c r="B10" s="7"/>
      <c r="C10" s="11"/>
      <c r="D10" s="11"/>
      <c r="E10" s="11"/>
      <c r="F10" s="11"/>
      <c r="G10" s="7"/>
      <c r="H10" s="7"/>
      <c r="I10" s="7"/>
      <c r="J10" s="11"/>
      <c r="K10" s="11"/>
      <c r="L10" s="11"/>
      <c r="M10" s="11"/>
      <c r="N10" s="11"/>
    </row>
    <row r="11">
      <c r="A11" s="11"/>
      <c r="B11" s="7"/>
      <c r="C11" s="11"/>
      <c r="D11" s="11"/>
      <c r="E11" s="11"/>
      <c r="F11" s="11"/>
      <c r="G11" s="7"/>
      <c r="H11" s="7"/>
      <c r="I11" s="7"/>
      <c r="J11" s="11"/>
      <c r="K11" s="11"/>
      <c r="L11" s="11"/>
      <c r="M11" s="11"/>
      <c r="N11" s="11"/>
    </row>
    <row r="12">
      <c r="A12" s="11"/>
      <c r="B12" s="7"/>
      <c r="C12" s="11"/>
      <c r="D12" s="11"/>
      <c r="E12" s="11"/>
      <c r="F12" s="11"/>
      <c r="G12" s="7"/>
      <c r="H12" s="7"/>
      <c r="I12" s="7"/>
      <c r="J12" s="11"/>
      <c r="K12" s="11"/>
      <c r="L12" s="11"/>
      <c r="M12" s="11"/>
      <c r="N12" s="11"/>
    </row>
    <row r="13">
      <c r="A13" s="11"/>
      <c r="B13" s="7"/>
      <c r="C13" s="11"/>
      <c r="D13" s="11"/>
      <c r="E13" s="11"/>
      <c r="F13" s="11"/>
      <c r="G13" s="7"/>
      <c r="H13" s="7"/>
      <c r="I13" s="7"/>
      <c r="J13" s="11"/>
      <c r="K13" s="11"/>
      <c r="L13" s="11"/>
      <c r="M13" s="11"/>
      <c r="N13" s="11"/>
    </row>
    <row r="14">
      <c r="A14" s="11"/>
      <c r="B14" s="7"/>
      <c r="C14" s="11"/>
      <c r="D14" s="11"/>
      <c r="E14" s="11"/>
      <c r="F14" s="11"/>
      <c r="G14" s="7"/>
      <c r="H14" s="7"/>
      <c r="I14" s="7"/>
      <c r="J14" s="11"/>
      <c r="K14" s="11"/>
      <c r="L14" s="11"/>
      <c r="M14" s="11"/>
      <c r="N14" s="11"/>
    </row>
    <row r="15">
      <c r="A15" s="11"/>
      <c r="B15" s="7"/>
      <c r="C15" s="11"/>
      <c r="D15" s="11"/>
      <c r="E15" s="11"/>
      <c r="F15" s="11"/>
      <c r="G15" s="7"/>
      <c r="H15" s="7"/>
      <c r="I15" s="7"/>
      <c r="J15" s="11"/>
      <c r="K15" s="11"/>
      <c r="L15" s="11"/>
      <c r="M15" s="11"/>
      <c r="N15" s="11"/>
    </row>
    <row r="16">
      <c r="A16" s="11"/>
      <c r="B16" s="7"/>
      <c r="C16" s="11"/>
      <c r="D16" s="11"/>
      <c r="E16" s="11"/>
      <c r="F16" s="11"/>
      <c r="G16" s="7"/>
      <c r="H16" s="7"/>
      <c r="I16" s="7"/>
      <c r="J16" s="11"/>
      <c r="K16" s="11"/>
      <c r="L16" s="11"/>
      <c r="M16" s="11"/>
      <c r="N16" s="11"/>
    </row>
    <row r="17">
      <c r="A17" s="11"/>
      <c r="B17" s="7"/>
      <c r="C17" s="11"/>
      <c r="D17" s="11"/>
      <c r="E17" s="11"/>
      <c r="F17" s="11"/>
      <c r="G17" s="7"/>
      <c r="H17" s="7"/>
      <c r="I17" s="7"/>
      <c r="J17" s="11"/>
      <c r="K17" s="11"/>
      <c r="L17" s="11"/>
      <c r="M17" s="11"/>
      <c r="N17" s="11"/>
    </row>
    <row r="18">
      <c r="A18" s="11"/>
      <c r="B18" s="7"/>
      <c r="C18" s="11"/>
      <c r="D18" s="11"/>
      <c r="E18" s="11"/>
      <c r="F18" s="11"/>
      <c r="G18" s="7"/>
      <c r="H18" s="7"/>
      <c r="I18" s="7"/>
      <c r="J18" s="11"/>
      <c r="K18" s="11"/>
      <c r="L18" s="11"/>
      <c r="M18" s="11"/>
      <c r="N18" s="11"/>
    </row>
    <row r="19">
      <c r="A19" s="11"/>
      <c r="B19" s="7"/>
      <c r="C19" s="11"/>
      <c r="D19" s="11"/>
      <c r="E19" s="11"/>
      <c r="F19" s="11"/>
      <c r="G19" s="7"/>
      <c r="H19" s="7"/>
      <c r="I19" s="7"/>
      <c r="J19" s="11"/>
      <c r="K19" s="11"/>
      <c r="L19" s="11"/>
      <c r="M19" s="11"/>
      <c r="N19" s="11"/>
    </row>
    <row r="20">
      <c r="A20" s="11"/>
      <c r="B20" s="7"/>
      <c r="C20" s="11"/>
      <c r="D20" s="11"/>
      <c r="E20" s="11"/>
      <c r="F20" s="11"/>
      <c r="G20" s="7"/>
      <c r="H20" s="7"/>
      <c r="I20" s="7"/>
      <c r="J20" s="11"/>
      <c r="K20" s="11"/>
      <c r="L20" s="11"/>
      <c r="M20" s="11"/>
      <c r="N20" s="11"/>
    </row>
    <row r="21" ht="15.75" customHeight="1">
      <c r="A21" s="11"/>
      <c r="B21" s="7"/>
      <c r="C21" s="11"/>
      <c r="D21" s="11"/>
      <c r="E21" s="11"/>
      <c r="F21" s="11"/>
      <c r="G21" s="7"/>
      <c r="H21" s="7"/>
      <c r="I21" s="7"/>
      <c r="J21" s="11"/>
      <c r="K21" s="11"/>
      <c r="L21" s="11"/>
      <c r="M21" s="11"/>
      <c r="N21" s="11"/>
    </row>
    <row r="22" ht="15.75" customHeight="1">
      <c r="A22" s="11"/>
      <c r="B22" s="7"/>
      <c r="C22" s="11"/>
      <c r="D22" s="11"/>
      <c r="E22" s="11"/>
      <c r="F22" s="11"/>
      <c r="G22" s="7"/>
      <c r="H22" s="7"/>
      <c r="I22" s="7"/>
      <c r="J22" s="11"/>
      <c r="K22" s="11"/>
      <c r="L22" s="11"/>
      <c r="M22" s="11"/>
      <c r="N22" s="11"/>
    </row>
    <row r="23" ht="15.75" customHeight="1">
      <c r="A23" s="11"/>
      <c r="B23" s="7"/>
      <c r="C23" s="11"/>
      <c r="D23" s="11"/>
      <c r="E23" s="11"/>
      <c r="F23" s="11"/>
      <c r="G23" s="7"/>
      <c r="H23" s="7"/>
      <c r="I23" s="7"/>
      <c r="J23" s="11"/>
      <c r="K23" s="11"/>
      <c r="L23" s="11"/>
      <c r="M23" s="11"/>
      <c r="N23" s="11"/>
    </row>
    <row r="24" ht="15.75" customHeight="1">
      <c r="A24" s="11"/>
      <c r="B24" s="7"/>
      <c r="C24" s="11"/>
      <c r="D24" s="11"/>
      <c r="E24" s="11"/>
      <c r="F24" s="11"/>
      <c r="G24" s="7"/>
      <c r="H24" s="7"/>
      <c r="I24" s="7"/>
      <c r="J24" s="11"/>
      <c r="K24" s="11"/>
      <c r="L24" s="11"/>
      <c r="M24" s="11"/>
      <c r="N24" s="11"/>
    </row>
    <row r="25" ht="15.75" customHeight="1">
      <c r="A25" s="11"/>
      <c r="B25" s="7"/>
      <c r="C25" s="11"/>
      <c r="D25" s="11"/>
      <c r="E25" s="11"/>
      <c r="F25" s="11"/>
      <c r="G25" s="7"/>
      <c r="H25" s="7"/>
      <c r="I25" s="7"/>
      <c r="J25" s="11"/>
      <c r="K25" s="11"/>
      <c r="L25" s="11"/>
      <c r="M25" s="11"/>
      <c r="N25" s="11"/>
    </row>
    <row r="26" ht="15.75" customHeight="1">
      <c r="A26" s="11"/>
      <c r="B26" s="7"/>
      <c r="C26" s="11"/>
      <c r="D26" s="11"/>
      <c r="E26" s="11"/>
      <c r="F26" s="11"/>
      <c r="G26" s="7"/>
      <c r="H26" s="7"/>
      <c r="I26" s="7"/>
      <c r="J26" s="11"/>
      <c r="K26" s="11"/>
      <c r="L26" s="11"/>
      <c r="M26" s="11"/>
      <c r="N26" s="11"/>
    </row>
    <row r="27" ht="15.75" customHeight="1">
      <c r="A27" s="11"/>
      <c r="B27" s="7"/>
      <c r="C27" s="11"/>
      <c r="D27" s="11"/>
      <c r="E27" s="11"/>
      <c r="F27" s="11"/>
      <c r="G27" s="7"/>
      <c r="H27" s="7"/>
      <c r="I27" s="7"/>
      <c r="J27" s="11"/>
      <c r="K27" s="11"/>
      <c r="L27" s="11"/>
      <c r="M27" s="11"/>
      <c r="N27" s="11"/>
    </row>
    <row r="28" ht="15.75" customHeight="1">
      <c r="A28" s="11"/>
      <c r="B28" s="7"/>
      <c r="C28" s="11"/>
      <c r="D28" s="11"/>
      <c r="E28" s="11"/>
      <c r="F28" s="11"/>
      <c r="G28" s="7"/>
      <c r="H28" s="7"/>
      <c r="I28" s="7"/>
      <c r="J28" s="11"/>
      <c r="K28" s="11"/>
      <c r="L28" s="11"/>
      <c r="M28" s="11"/>
      <c r="N28" s="11"/>
    </row>
    <row r="29" ht="15.75" customHeight="1">
      <c r="A29" s="11"/>
      <c r="B29" s="7"/>
      <c r="C29" s="11"/>
      <c r="D29" s="11"/>
      <c r="E29" s="11"/>
      <c r="F29" s="11"/>
      <c r="G29" s="7"/>
      <c r="H29" s="7"/>
      <c r="I29" s="7"/>
      <c r="J29" s="11"/>
      <c r="K29" s="11"/>
      <c r="L29" s="11"/>
      <c r="M29" s="11"/>
      <c r="N29" s="11"/>
    </row>
    <row r="30" ht="15.75" customHeight="1">
      <c r="A30" s="11"/>
      <c r="B30" s="7"/>
      <c r="C30" s="11"/>
      <c r="D30" s="11"/>
      <c r="E30" s="11"/>
      <c r="F30" s="11"/>
      <c r="G30" s="7"/>
      <c r="H30" s="7"/>
      <c r="I30" s="7"/>
      <c r="J30" s="11"/>
      <c r="K30" s="11"/>
      <c r="L30" s="11"/>
      <c r="M30" s="11"/>
      <c r="N30" s="11"/>
    </row>
    <row r="31" ht="15.75" customHeight="1">
      <c r="D31" s="19"/>
      <c r="E31" s="19"/>
      <c r="K31" s="19"/>
    </row>
    <row r="32" ht="15.75" customHeight="1">
      <c r="D32" s="19"/>
      <c r="E32" s="19"/>
      <c r="K32" s="19"/>
    </row>
    <row r="33" ht="15.75" customHeight="1">
      <c r="D33" s="19"/>
      <c r="E33" s="19"/>
      <c r="K33" s="19"/>
    </row>
    <row r="34" ht="15.75" customHeight="1">
      <c r="D34" s="19"/>
      <c r="E34" s="19"/>
      <c r="K34" s="19"/>
    </row>
    <row r="35" ht="15.75" customHeight="1">
      <c r="D35" s="19"/>
      <c r="E35" s="19"/>
      <c r="K35" s="19"/>
    </row>
    <row r="36" ht="15.75" customHeight="1">
      <c r="D36" s="19"/>
      <c r="E36" s="19"/>
      <c r="K36" s="19"/>
    </row>
    <row r="37" ht="15.75" customHeight="1">
      <c r="D37" s="19"/>
      <c r="E37" s="19"/>
      <c r="K37" s="19"/>
    </row>
    <row r="38" ht="15.75" customHeight="1">
      <c r="D38" s="19"/>
      <c r="E38" s="19"/>
      <c r="K38" s="19"/>
    </row>
    <row r="39" ht="15.75" customHeight="1">
      <c r="D39" s="19"/>
      <c r="E39" s="19"/>
      <c r="K39" s="19"/>
    </row>
    <row r="40" ht="15.75" customHeight="1">
      <c r="D40" s="19"/>
      <c r="E40" s="19"/>
      <c r="K40" s="19"/>
    </row>
    <row r="41" ht="15.75" customHeight="1">
      <c r="D41" s="19"/>
      <c r="E41" s="19"/>
      <c r="K41" s="19"/>
    </row>
    <row r="42" ht="15.75" customHeight="1">
      <c r="D42" s="19"/>
      <c r="E42" s="19"/>
      <c r="K42" s="19"/>
    </row>
    <row r="43" ht="15.75" customHeight="1">
      <c r="D43" s="19"/>
      <c r="E43" s="19"/>
      <c r="K43" s="19"/>
    </row>
    <row r="44" ht="15.75" customHeight="1">
      <c r="D44" s="19"/>
      <c r="E44" s="19"/>
      <c r="K44" s="19"/>
    </row>
    <row r="45" ht="15.75" customHeight="1">
      <c r="D45" s="19"/>
      <c r="E45" s="19"/>
      <c r="K45" s="19"/>
    </row>
    <row r="46" ht="15.75" customHeight="1">
      <c r="D46" s="19"/>
      <c r="E46" s="19"/>
      <c r="K46" s="19"/>
    </row>
    <row r="47" ht="15.75" customHeight="1">
      <c r="D47" s="19"/>
      <c r="E47" s="19"/>
      <c r="K47" s="19"/>
    </row>
    <row r="48" ht="15.75" customHeight="1">
      <c r="D48" s="19"/>
      <c r="E48" s="19"/>
      <c r="K48" s="19"/>
    </row>
    <row r="49" ht="15.75" customHeight="1">
      <c r="D49" s="19"/>
      <c r="E49" s="19"/>
      <c r="K49" s="19"/>
    </row>
    <row r="50" ht="15.75" customHeight="1">
      <c r="D50" s="19"/>
      <c r="E50" s="19"/>
      <c r="K50" s="19"/>
    </row>
    <row r="51" ht="15.75" customHeight="1">
      <c r="D51" s="19"/>
      <c r="E51" s="19"/>
      <c r="K51" s="19"/>
    </row>
    <row r="52" ht="15.75" customHeight="1">
      <c r="D52" s="19"/>
      <c r="E52" s="19"/>
      <c r="K52" s="19"/>
    </row>
    <row r="53" ht="15.75" customHeight="1">
      <c r="D53" s="19"/>
      <c r="E53" s="19"/>
      <c r="K53" s="19"/>
    </row>
    <row r="54" ht="15.75" customHeight="1">
      <c r="D54" s="19"/>
      <c r="E54" s="19"/>
      <c r="K54" s="19"/>
    </row>
    <row r="55" ht="15.75" customHeight="1">
      <c r="D55" s="19"/>
      <c r="E55" s="19"/>
      <c r="K55" s="19"/>
    </row>
    <row r="56" ht="15.75" customHeight="1">
      <c r="D56" s="19"/>
      <c r="E56" s="19"/>
      <c r="K56" s="19"/>
    </row>
    <row r="57" ht="15.75" customHeight="1">
      <c r="D57" s="19"/>
      <c r="E57" s="19"/>
      <c r="K57" s="19"/>
    </row>
    <row r="58" ht="15.75" customHeight="1">
      <c r="D58" s="19"/>
      <c r="E58" s="19"/>
      <c r="K58" s="19"/>
    </row>
    <row r="59" ht="15.75" customHeight="1">
      <c r="D59" s="19"/>
      <c r="E59" s="19"/>
      <c r="K59" s="19"/>
    </row>
    <row r="60" ht="15.75" customHeight="1">
      <c r="D60" s="19"/>
      <c r="E60" s="19"/>
      <c r="K60" s="19"/>
    </row>
    <row r="61" ht="15.75" customHeight="1">
      <c r="D61" s="19"/>
      <c r="E61" s="19"/>
      <c r="K61" s="19"/>
    </row>
    <row r="62" ht="15.75" customHeight="1">
      <c r="D62" s="19"/>
      <c r="E62" s="19"/>
      <c r="K62" s="19"/>
    </row>
    <row r="63" ht="15.75" customHeight="1">
      <c r="D63" s="19"/>
      <c r="E63" s="19"/>
      <c r="K63" s="19"/>
    </row>
    <row r="64" ht="15.75" customHeight="1">
      <c r="D64" s="19"/>
      <c r="E64" s="19"/>
      <c r="K64" s="19"/>
    </row>
    <row r="65" ht="15.75" customHeight="1">
      <c r="D65" s="19"/>
      <c r="E65" s="19"/>
      <c r="K65" s="19"/>
    </row>
    <row r="66" ht="15.75" customHeight="1">
      <c r="D66" s="19"/>
      <c r="E66" s="19"/>
      <c r="K66" s="19"/>
    </row>
    <row r="67" ht="15.75" customHeight="1">
      <c r="D67" s="19"/>
      <c r="E67" s="19"/>
      <c r="K67" s="19"/>
    </row>
    <row r="68" ht="15.75" customHeight="1">
      <c r="D68" s="19"/>
      <c r="E68" s="19"/>
      <c r="K68" s="19"/>
    </row>
    <row r="69" ht="15.75" customHeight="1">
      <c r="D69" s="19"/>
      <c r="E69" s="19"/>
      <c r="K69" s="19"/>
    </row>
    <row r="70" ht="15.75" customHeight="1">
      <c r="D70" s="19"/>
      <c r="E70" s="19"/>
      <c r="K70" s="19"/>
    </row>
    <row r="71" ht="15.75" customHeight="1">
      <c r="D71" s="19"/>
      <c r="E71" s="19"/>
      <c r="K71" s="19"/>
    </row>
    <row r="72" ht="15.75" customHeight="1">
      <c r="D72" s="19"/>
      <c r="E72" s="19"/>
      <c r="K72" s="19"/>
    </row>
    <row r="73" ht="15.75" customHeight="1">
      <c r="D73" s="19"/>
      <c r="E73" s="19"/>
      <c r="K73" s="19"/>
    </row>
    <row r="74" ht="15.75" customHeight="1">
      <c r="D74" s="19"/>
      <c r="E74" s="19"/>
      <c r="K74" s="19"/>
    </row>
    <row r="75" ht="15.75" customHeight="1">
      <c r="D75" s="19"/>
      <c r="E75" s="19"/>
      <c r="K75" s="19"/>
    </row>
    <row r="76" ht="15.75" customHeight="1">
      <c r="D76" s="19"/>
      <c r="E76" s="19"/>
      <c r="K76" s="19"/>
    </row>
    <row r="77" ht="15.75" customHeight="1">
      <c r="D77" s="19"/>
      <c r="E77" s="19"/>
      <c r="K77" s="19"/>
    </row>
    <row r="78" ht="15.75" customHeight="1">
      <c r="D78" s="19"/>
      <c r="E78" s="19"/>
      <c r="K78" s="19"/>
    </row>
    <row r="79" ht="15.75" customHeight="1">
      <c r="D79" s="19"/>
      <c r="E79" s="19"/>
      <c r="K79" s="19"/>
    </row>
    <row r="80" ht="15.75" customHeight="1">
      <c r="D80" s="19"/>
      <c r="E80" s="19"/>
      <c r="K80" s="19"/>
    </row>
    <row r="81" ht="15.75" customHeight="1">
      <c r="D81" s="19"/>
      <c r="E81" s="19"/>
      <c r="K81" s="19"/>
    </row>
    <row r="82" ht="15.75" customHeight="1">
      <c r="D82" s="19"/>
      <c r="E82" s="19"/>
      <c r="K82" s="19"/>
    </row>
    <row r="83" ht="15.75" customHeight="1">
      <c r="D83" s="19"/>
      <c r="E83" s="19"/>
      <c r="K83" s="19"/>
    </row>
    <row r="84" ht="15.75" customHeight="1">
      <c r="D84" s="19"/>
      <c r="E84" s="19"/>
      <c r="K84" s="19"/>
    </row>
    <row r="85" ht="15.75" customHeight="1">
      <c r="D85" s="19"/>
      <c r="E85" s="19"/>
      <c r="K85" s="19"/>
    </row>
    <row r="86" ht="15.75" customHeight="1">
      <c r="D86" s="19"/>
      <c r="E86" s="19"/>
      <c r="K86" s="19"/>
    </row>
    <row r="87" ht="15.75" customHeight="1">
      <c r="D87" s="19"/>
      <c r="E87" s="19"/>
      <c r="K87" s="19"/>
    </row>
    <row r="88" ht="15.75" customHeight="1">
      <c r="D88" s="19"/>
      <c r="E88" s="19"/>
      <c r="K88" s="19"/>
    </row>
    <row r="89" ht="15.75" customHeight="1">
      <c r="D89" s="19"/>
      <c r="E89" s="19"/>
      <c r="K89" s="19"/>
    </row>
    <row r="90" ht="15.75" customHeight="1">
      <c r="D90" s="19"/>
      <c r="E90" s="19"/>
      <c r="K90" s="19"/>
    </row>
    <row r="91" ht="15.75" customHeight="1">
      <c r="D91" s="19"/>
      <c r="E91" s="19"/>
      <c r="K91" s="19"/>
    </row>
    <row r="92" ht="15.75" customHeight="1">
      <c r="D92" s="19"/>
      <c r="E92" s="19"/>
      <c r="K92" s="19"/>
    </row>
    <row r="93" ht="15.75" customHeight="1">
      <c r="D93" s="19"/>
      <c r="E93" s="19"/>
      <c r="K93" s="19"/>
    </row>
    <row r="94" ht="15.75" customHeight="1">
      <c r="D94" s="19"/>
      <c r="E94" s="19"/>
      <c r="K94" s="19"/>
    </row>
    <row r="95" ht="15.75" customHeight="1">
      <c r="D95" s="19"/>
      <c r="E95" s="19"/>
      <c r="K95" s="19"/>
    </row>
    <row r="96" ht="15.75" customHeight="1">
      <c r="D96" s="19"/>
      <c r="E96" s="19"/>
      <c r="K96" s="19"/>
    </row>
    <row r="97" ht="15.75" customHeight="1">
      <c r="D97" s="19"/>
      <c r="E97" s="19"/>
      <c r="K97" s="19"/>
    </row>
    <row r="98" ht="15.75" customHeight="1">
      <c r="D98" s="19"/>
      <c r="E98" s="19"/>
      <c r="K98" s="19"/>
    </row>
    <row r="99" ht="15.75" customHeight="1">
      <c r="D99" s="19"/>
      <c r="E99" s="19"/>
      <c r="K99" s="19"/>
    </row>
    <row r="100" ht="15.75" customHeight="1">
      <c r="D100" s="19"/>
      <c r="E100" s="19"/>
      <c r="K100" s="19"/>
    </row>
    <row r="101" ht="15.75" customHeight="1">
      <c r="D101" s="19"/>
      <c r="E101" s="19"/>
      <c r="K101" s="19"/>
    </row>
    <row r="102" ht="15.75" customHeight="1">
      <c r="D102" s="19"/>
      <c r="E102" s="19"/>
      <c r="K102" s="19"/>
    </row>
    <row r="103" ht="15.75" customHeight="1">
      <c r="D103" s="19"/>
      <c r="E103" s="19"/>
      <c r="K103" s="19"/>
    </row>
    <row r="104" ht="15.75" customHeight="1">
      <c r="D104" s="19"/>
      <c r="E104" s="19"/>
      <c r="K104" s="19"/>
    </row>
    <row r="105" ht="15.75" customHeight="1">
      <c r="D105" s="19"/>
      <c r="E105" s="19"/>
      <c r="K105" s="19"/>
    </row>
    <row r="106" ht="15.75" customHeight="1">
      <c r="D106" s="19"/>
      <c r="E106" s="19"/>
      <c r="K106" s="19"/>
    </row>
    <row r="107" ht="15.75" customHeight="1">
      <c r="D107" s="19"/>
      <c r="E107" s="19"/>
      <c r="K107" s="19"/>
    </row>
    <row r="108" ht="15.75" customHeight="1">
      <c r="D108" s="19"/>
      <c r="E108" s="19"/>
      <c r="K108" s="19"/>
    </row>
    <row r="109" ht="15.75" customHeight="1">
      <c r="D109" s="19"/>
      <c r="E109" s="19"/>
      <c r="K109" s="19"/>
    </row>
    <row r="110" ht="15.75" customHeight="1">
      <c r="D110" s="19"/>
      <c r="E110" s="19"/>
      <c r="K110" s="19"/>
    </row>
    <row r="111" ht="15.75" customHeight="1">
      <c r="D111" s="19"/>
      <c r="E111" s="19"/>
      <c r="K111" s="19"/>
    </row>
    <row r="112" ht="15.75" customHeight="1">
      <c r="D112" s="19"/>
      <c r="E112" s="19"/>
      <c r="K112" s="19"/>
    </row>
    <row r="113" ht="15.75" customHeight="1">
      <c r="D113" s="19"/>
      <c r="E113" s="19"/>
      <c r="K113" s="19"/>
    </row>
    <row r="114" ht="15.75" customHeight="1">
      <c r="D114" s="19"/>
      <c r="E114" s="19"/>
      <c r="K114" s="19"/>
    </row>
    <row r="115" ht="15.75" customHeight="1">
      <c r="D115" s="19"/>
      <c r="E115" s="19"/>
      <c r="K115" s="19"/>
    </row>
    <row r="116" ht="15.75" customHeight="1">
      <c r="D116" s="19"/>
      <c r="E116" s="19"/>
      <c r="K116" s="19"/>
    </row>
    <row r="117" ht="15.75" customHeight="1">
      <c r="D117" s="19"/>
      <c r="E117" s="19"/>
      <c r="K117" s="19"/>
    </row>
    <row r="118" ht="15.75" customHeight="1">
      <c r="D118" s="19"/>
      <c r="E118" s="19"/>
      <c r="K118" s="19"/>
    </row>
    <row r="119" ht="15.75" customHeight="1">
      <c r="D119" s="19"/>
      <c r="E119" s="19"/>
      <c r="K119" s="19"/>
    </row>
    <row r="120" ht="15.75" customHeight="1">
      <c r="D120" s="19"/>
      <c r="E120" s="19"/>
      <c r="K120" s="19"/>
    </row>
    <row r="121" ht="15.75" customHeight="1">
      <c r="D121" s="19"/>
      <c r="E121" s="19"/>
      <c r="K121" s="19"/>
    </row>
    <row r="122" ht="15.75" customHeight="1">
      <c r="D122" s="19"/>
      <c r="E122" s="19"/>
      <c r="K122" s="19"/>
    </row>
    <row r="123" ht="15.75" customHeight="1">
      <c r="D123" s="19"/>
      <c r="E123" s="19"/>
      <c r="K123" s="19"/>
    </row>
    <row r="124" ht="15.75" customHeight="1">
      <c r="D124" s="19"/>
      <c r="E124" s="19"/>
      <c r="K124" s="19"/>
    </row>
    <row r="125" ht="15.75" customHeight="1">
      <c r="D125" s="19"/>
      <c r="E125" s="19"/>
      <c r="K125" s="19"/>
    </row>
    <row r="126" ht="15.75" customHeight="1">
      <c r="D126" s="19"/>
      <c r="E126" s="19"/>
      <c r="K126" s="19"/>
    </row>
    <row r="127" ht="15.75" customHeight="1">
      <c r="D127" s="19"/>
      <c r="E127" s="19"/>
      <c r="K127" s="19"/>
    </row>
    <row r="128" ht="15.75" customHeight="1">
      <c r="D128" s="19"/>
      <c r="E128" s="19"/>
      <c r="K128" s="19"/>
    </row>
    <row r="129" ht="15.75" customHeight="1">
      <c r="D129" s="19"/>
      <c r="E129" s="19"/>
      <c r="K129" s="19"/>
    </row>
    <row r="130" ht="15.75" customHeight="1">
      <c r="D130" s="19"/>
      <c r="E130" s="19"/>
      <c r="K130" s="19"/>
    </row>
    <row r="131" ht="15.75" customHeight="1">
      <c r="D131" s="19"/>
      <c r="E131" s="19"/>
      <c r="K131" s="19"/>
    </row>
    <row r="132" ht="15.75" customHeight="1">
      <c r="D132" s="19"/>
      <c r="E132" s="19"/>
      <c r="K132" s="19"/>
    </row>
    <row r="133" ht="15.75" customHeight="1">
      <c r="D133" s="19"/>
      <c r="E133" s="19"/>
      <c r="K133" s="19"/>
    </row>
    <row r="134" ht="15.75" customHeight="1">
      <c r="D134" s="19"/>
      <c r="E134" s="19"/>
      <c r="K134" s="19"/>
    </row>
    <row r="135" ht="15.75" customHeight="1">
      <c r="D135" s="19"/>
      <c r="E135" s="19"/>
      <c r="K135" s="19"/>
    </row>
    <row r="136" ht="15.75" customHeight="1">
      <c r="D136" s="19"/>
      <c r="E136" s="19"/>
      <c r="K136" s="19"/>
    </row>
    <row r="137" ht="15.75" customHeight="1">
      <c r="D137" s="19"/>
      <c r="E137" s="19"/>
      <c r="K137" s="19"/>
    </row>
    <row r="138" ht="15.75" customHeight="1">
      <c r="D138" s="19"/>
      <c r="E138" s="19"/>
      <c r="K138" s="19"/>
    </row>
    <row r="139" ht="15.75" customHeight="1">
      <c r="D139" s="19"/>
      <c r="E139" s="19"/>
      <c r="K139" s="19"/>
    </row>
    <row r="140" ht="15.75" customHeight="1">
      <c r="D140" s="19"/>
      <c r="E140" s="19"/>
      <c r="K140" s="19"/>
    </row>
    <row r="141" ht="15.75" customHeight="1">
      <c r="D141" s="19"/>
      <c r="E141" s="19"/>
      <c r="K141" s="19"/>
    </row>
    <row r="142" ht="15.75" customHeight="1">
      <c r="D142" s="19"/>
      <c r="E142" s="19"/>
      <c r="K142" s="19"/>
    </row>
    <row r="143" ht="15.75" customHeight="1">
      <c r="D143" s="19"/>
      <c r="E143" s="19"/>
      <c r="K143" s="19"/>
    </row>
    <row r="144" ht="15.75" customHeight="1">
      <c r="D144" s="19"/>
      <c r="E144" s="19"/>
      <c r="K144" s="19"/>
    </row>
    <row r="145" ht="15.75" customHeight="1">
      <c r="D145" s="19"/>
      <c r="E145" s="19"/>
      <c r="K145" s="19"/>
    </row>
    <row r="146" ht="15.75" customHeight="1">
      <c r="D146" s="19"/>
      <c r="E146" s="19"/>
      <c r="K146" s="19"/>
    </row>
    <row r="147" ht="15.75" customHeight="1">
      <c r="D147" s="19"/>
      <c r="E147" s="19"/>
      <c r="K147" s="19"/>
    </row>
    <row r="148" ht="15.75" customHeight="1">
      <c r="D148" s="19"/>
      <c r="E148" s="19"/>
      <c r="K148" s="19"/>
    </row>
    <row r="149" ht="15.75" customHeight="1">
      <c r="D149" s="19"/>
      <c r="E149" s="19"/>
      <c r="K149" s="19"/>
    </row>
    <row r="150" ht="15.75" customHeight="1">
      <c r="D150" s="19"/>
      <c r="E150" s="19"/>
      <c r="K150" s="19"/>
    </row>
    <row r="151" ht="15.75" customHeight="1">
      <c r="D151" s="19"/>
      <c r="E151" s="19"/>
      <c r="K151" s="19"/>
    </row>
    <row r="152" ht="15.75" customHeight="1">
      <c r="D152" s="19"/>
      <c r="E152" s="19"/>
      <c r="K152" s="19"/>
    </row>
    <row r="153" ht="15.75" customHeight="1">
      <c r="D153" s="19"/>
      <c r="E153" s="19"/>
      <c r="K153" s="19"/>
    </row>
    <row r="154" ht="15.75" customHeight="1">
      <c r="D154" s="19"/>
      <c r="E154" s="19"/>
      <c r="K154" s="19"/>
    </row>
    <row r="155" ht="15.75" customHeight="1">
      <c r="D155" s="19"/>
      <c r="E155" s="19"/>
      <c r="K155" s="19"/>
    </row>
    <row r="156" ht="15.75" customHeight="1">
      <c r="D156" s="19"/>
      <c r="E156" s="19"/>
      <c r="K156" s="19"/>
    </row>
    <row r="157" ht="15.75" customHeight="1">
      <c r="D157" s="19"/>
      <c r="E157" s="19"/>
      <c r="K157" s="19"/>
    </row>
    <row r="158" ht="15.75" customHeight="1">
      <c r="D158" s="19"/>
      <c r="E158" s="19"/>
      <c r="K158" s="19"/>
    </row>
    <row r="159" ht="15.75" customHeight="1">
      <c r="D159" s="19"/>
      <c r="E159" s="19"/>
      <c r="K159" s="19"/>
    </row>
    <row r="160" ht="15.75" customHeight="1">
      <c r="D160" s="19"/>
      <c r="E160" s="19"/>
      <c r="K160" s="19"/>
    </row>
    <row r="161" ht="15.75" customHeight="1">
      <c r="D161" s="19"/>
      <c r="E161" s="19"/>
      <c r="K161" s="19"/>
    </row>
    <row r="162" ht="15.75" customHeight="1">
      <c r="D162" s="19"/>
      <c r="E162" s="19"/>
      <c r="K162" s="19"/>
    </row>
    <row r="163" ht="15.75" customHeight="1">
      <c r="D163" s="19"/>
      <c r="E163" s="19"/>
      <c r="K163" s="19"/>
    </row>
    <row r="164" ht="15.75" customHeight="1">
      <c r="D164" s="19"/>
      <c r="E164" s="19"/>
      <c r="K164" s="19"/>
    </row>
    <row r="165" ht="15.75" customHeight="1">
      <c r="D165" s="19"/>
      <c r="E165" s="19"/>
      <c r="K165" s="19"/>
    </row>
    <row r="166" ht="15.75" customHeight="1">
      <c r="D166" s="19"/>
      <c r="E166" s="19"/>
      <c r="K166" s="19"/>
    </row>
    <row r="167" ht="15.75" customHeight="1">
      <c r="D167" s="19"/>
      <c r="E167" s="19"/>
      <c r="K167" s="19"/>
    </row>
    <row r="168" ht="15.75" customHeight="1">
      <c r="D168" s="19"/>
      <c r="E168" s="19"/>
      <c r="K168" s="19"/>
    </row>
    <row r="169" ht="15.75" customHeight="1">
      <c r="D169" s="19"/>
      <c r="E169" s="19"/>
      <c r="K169" s="19"/>
    </row>
    <row r="170" ht="15.75" customHeight="1">
      <c r="D170" s="19"/>
      <c r="E170" s="19"/>
      <c r="K170" s="19"/>
    </row>
    <row r="171" ht="15.75" customHeight="1">
      <c r="D171" s="19"/>
      <c r="E171" s="19"/>
      <c r="K171" s="19"/>
    </row>
    <row r="172" ht="15.75" customHeight="1">
      <c r="D172" s="19"/>
      <c r="E172" s="19"/>
      <c r="K172" s="19"/>
    </row>
    <row r="173" ht="15.75" customHeight="1">
      <c r="D173" s="19"/>
      <c r="E173" s="19"/>
      <c r="K173" s="19"/>
    </row>
    <row r="174" ht="15.75" customHeight="1">
      <c r="D174" s="19"/>
      <c r="E174" s="19"/>
      <c r="K174" s="19"/>
    </row>
    <row r="175" ht="15.75" customHeight="1">
      <c r="D175" s="19"/>
      <c r="E175" s="19"/>
      <c r="K175" s="19"/>
    </row>
    <row r="176" ht="15.75" customHeight="1">
      <c r="D176" s="19"/>
      <c r="E176" s="19"/>
      <c r="K176" s="19"/>
    </row>
    <row r="177" ht="15.75" customHeight="1">
      <c r="D177" s="19"/>
      <c r="E177" s="19"/>
      <c r="K177" s="19"/>
    </row>
    <row r="178" ht="15.75" customHeight="1">
      <c r="D178" s="19"/>
      <c r="E178" s="19"/>
      <c r="K178" s="19"/>
    </row>
    <row r="179" ht="15.75" customHeight="1">
      <c r="D179" s="19"/>
      <c r="E179" s="19"/>
      <c r="K179" s="19"/>
    </row>
    <row r="180" ht="15.75" customHeight="1">
      <c r="D180" s="19"/>
      <c r="E180" s="19"/>
      <c r="K180" s="19"/>
    </row>
    <row r="181" ht="15.75" customHeight="1">
      <c r="D181" s="19"/>
      <c r="E181" s="19"/>
      <c r="K181" s="19"/>
    </row>
    <row r="182" ht="15.75" customHeight="1">
      <c r="D182" s="19"/>
      <c r="E182" s="19"/>
      <c r="K182" s="19"/>
    </row>
    <row r="183" ht="15.75" customHeight="1">
      <c r="D183" s="19"/>
      <c r="E183" s="19"/>
      <c r="K183" s="19"/>
    </row>
    <row r="184" ht="15.75" customHeight="1">
      <c r="D184" s="19"/>
      <c r="E184" s="19"/>
      <c r="K184" s="19"/>
    </row>
    <row r="185" ht="15.75" customHeight="1">
      <c r="D185" s="19"/>
      <c r="E185" s="19"/>
      <c r="K185" s="19"/>
    </row>
    <row r="186" ht="15.75" customHeight="1">
      <c r="D186" s="19"/>
      <c r="E186" s="19"/>
      <c r="K186" s="19"/>
    </row>
    <row r="187" ht="15.75" customHeight="1">
      <c r="D187" s="19"/>
      <c r="E187" s="19"/>
      <c r="K187" s="19"/>
    </row>
    <row r="188" ht="15.75" customHeight="1">
      <c r="D188" s="19"/>
      <c r="E188" s="19"/>
      <c r="K188" s="19"/>
    </row>
    <row r="189" ht="15.75" customHeight="1">
      <c r="D189" s="19"/>
      <c r="E189" s="19"/>
      <c r="K189" s="19"/>
    </row>
    <row r="190" ht="15.75" customHeight="1">
      <c r="D190" s="19"/>
      <c r="E190" s="19"/>
      <c r="K190" s="19"/>
    </row>
    <row r="191" ht="15.75" customHeight="1">
      <c r="D191" s="19"/>
      <c r="E191" s="19"/>
      <c r="K191" s="19"/>
    </row>
    <row r="192" ht="15.75" customHeight="1">
      <c r="D192" s="19"/>
      <c r="E192" s="19"/>
      <c r="K192" s="19"/>
    </row>
    <row r="193" ht="15.75" customHeight="1">
      <c r="D193" s="19"/>
      <c r="E193" s="19"/>
      <c r="K193" s="19"/>
    </row>
    <row r="194" ht="15.75" customHeight="1">
      <c r="D194" s="19"/>
      <c r="E194" s="19"/>
      <c r="K194" s="19"/>
    </row>
    <row r="195" ht="15.75" customHeight="1">
      <c r="D195" s="19"/>
      <c r="E195" s="19"/>
      <c r="K195" s="19"/>
    </row>
    <row r="196" ht="15.75" customHeight="1">
      <c r="D196" s="19"/>
      <c r="E196" s="19"/>
      <c r="K196" s="19"/>
    </row>
    <row r="197" ht="15.75" customHeight="1">
      <c r="D197" s="19"/>
      <c r="E197" s="19"/>
      <c r="K197" s="19"/>
    </row>
    <row r="198" ht="15.75" customHeight="1">
      <c r="D198" s="19"/>
      <c r="E198" s="19"/>
      <c r="K198" s="19"/>
    </row>
    <row r="199" ht="15.75" customHeight="1">
      <c r="D199" s="19"/>
      <c r="E199" s="19"/>
      <c r="K199" s="19"/>
    </row>
    <row r="200" ht="15.75" customHeight="1">
      <c r="D200" s="19"/>
      <c r="E200" s="19"/>
      <c r="K200" s="19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"/>
  <dataValidations>
    <dataValidation type="list" allowBlank="1" sqref="D2:D200">
      <formula1>"Crítico,Alto,Médio,Baixo"</formula1>
    </dataValidation>
    <dataValidation type="list" allowBlank="1" sqref="E2:E200">
      <formula1>"Urgente,Alta,Média,Baixa"</formula1>
    </dataValidation>
    <dataValidation type="list" allowBlank="1" sqref="K2:K200">
      <formula1>"Novo,Em Correção,Corrigido,Em Reteste,Fechado,Reaberto,Rejeitado"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3" width="26.0"/>
    <col customWidth="1" min="4" max="4" width="50.0"/>
    <col customWidth="1" min="5" max="26" width="8.71"/>
  </cols>
  <sheetData>
    <row r="1">
      <c r="A1" s="20" t="s">
        <v>339</v>
      </c>
      <c r="B1" s="20" t="s">
        <v>340</v>
      </c>
      <c r="C1" s="20" t="s">
        <v>341</v>
      </c>
      <c r="D1" s="20" t="s">
        <v>342</v>
      </c>
    </row>
    <row r="2">
      <c r="A2" s="32" t="s">
        <v>343</v>
      </c>
      <c r="B2" s="32" t="s">
        <v>344</v>
      </c>
      <c r="C2" s="32" t="s">
        <v>345</v>
      </c>
      <c r="D2" s="33" t="s">
        <v>346</v>
      </c>
    </row>
    <row r="3">
      <c r="A3" s="32" t="s">
        <v>343</v>
      </c>
      <c r="B3" s="32" t="s">
        <v>347</v>
      </c>
      <c r="C3" s="32" t="s">
        <v>348</v>
      </c>
      <c r="D3" s="33" t="s">
        <v>349</v>
      </c>
    </row>
    <row r="4">
      <c r="A4" s="32" t="s">
        <v>343</v>
      </c>
      <c r="B4" s="32" t="s">
        <v>350</v>
      </c>
      <c r="C4" s="32" t="s">
        <v>351</v>
      </c>
      <c r="D4" s="33" t="s">
        <v>352</v>
      </c>
    </row>
    <row r="5">
      <c r="A5" s="32" t="s">
        <v>343</v>
      </c>
      <c r="B5" s="32" t="s">
        <v>353</v>
      </c>
      <c r="C5" s="32" t="s">
        <v>354</v>
      </c>
      <c r="D5" s="33" t="s">
        <v>355</v>
      </c>
    </row>
    <row r="6">
      <c r="A6" s="32" t="s">
        <v>356</v>
      </c>
      <c r="B6" s="32" t="s">
        <v>357</v>
      </c>
      <c r="C6" s="32" t="s">
        <v>358</v>
      </c>
      <c r="D6" s="33" t="s">
        <v>359</v>
      </c>
    </row>
    <row r="7">
      <c r="A7" s="11"/>
      <c r="B7" s="11"/>
      <c r="C7" s="11"/>
      <c r="D7" s="7"/>
    </row>
    <row r="8">
      <c r="A8" s="11"/>
      <c r="B8" s="11"/>
      <c r="C8" s="11"/>
      <c r="D8" s="7"/>
    </row>
    <row r="9">
      <c r="A9" s="11"/>
      <c r="B9" s="11"/>
      <c r="C9" s="11"/>
      <c r="D9" s="7"/>
    </row>
    <row r="10">
      <c r="A10" s="11"/>
      <c r="B10" s="11"/>
      <c r="C10" s="11"/>
      <c r="D10" s="7"/>
    </row>
    <row r="11">
      <c r="A11" s="11"/>
      <c r="B11" s="11"/>
      <c r="C11" s="11"/>
      <c r="D11" s="7"/>
    </row>
    <row r="12">
      <c r="A12" s="11"/>
      <c r="B12" s="11"/>
      <c r="C12" s="11"/>
      <c r="D12" s="7"/>
    </row>
    <row r="13">
      <c r="A13" s="11"/>
      <c r="B13" s="11"/>
      <c r="C13" s="11"/>
      <c r="D13" s="7"/>
    </row>
    <row r="14">
      <c r="A14" s="11"/>
      <c r="B14" s="11"/>
      <c r="C14" s="11"/>
      <c r="D14" s="7"/>
    </row>
    <row r="15">
      <c r="A15" s="11"/>
      <c r="B15" s="11"/>
      <c r="C15" s="11"/>
      <c r="D15" s="7"/>
    </row>
    <row r="16">
      <c r="A16" s="11"/>
      <c r="B16" s="11"/>
      <c r="C16" s="11"/>
      <c r="D16" s="7"/>
    </row>
    <row r="17">
      <c r="A17" s="11"/>
      <c r="B17" s="11"/>
      <c r="C17" s="11"/>
      <c r="D17" s="7"/>
    </row>
    <row r="18">
      <c r="A18" s="11"/>
      <c r="B18" s="11"/>
      <c r="C18" s="11"/>
      <c r="D18" s="7"/>
    </row>
    <row r="19">
      <c r="A19" s="11"/>
      <c r="B19" s="11"/>
      <c r="C19" s="11"/>
      <c r="D19" s="7"/>
    </row>
    <row r="20">
      <c r="A20" s="11"/>
      <c r="B20" s="11"/>
      <c r="C20" s="11"/>
      <c r="D20" s="7"/>
    </row>
    <row r="21" ht="15.75" customHeight="1">
      <c r="A21" s="11"/>
      <c r="B21" s="11"/>
      <c r="C21" s="11"/>
      <c r="D21" s="7"/>
    </row>
    <row r="22" ht="15.75" customHeight="1">
      <c r="A22" s="11"/>
      <c r="B22" s="11"/>
      <c r="C22" s="11"/>
      <c r="D22" s="7"/>
    </row>
    <row r="23" ht="15.75" customHeight="1">
      <c r="A23" s="11"/>
      <c r="B23" s="11"/>
      <c r="C23" s="11"/>
      <c r="D23" s="7"/>
    </row>
    <row r="24" ht="15.75" customHeight="1">
      <c r="A24" s="11"/>
      <c r="B24" s="11"/>
      <c r="C24" s="11"/>
      <c r="D24" s="7"/>
    </row>
    <row r="25" ht="15.75" customHeight="1">
      <c r="A25" s="11"/>
      <c r="B25" s="11"/>
      <c r="C25" s="11"/>
      <c r="D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"/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6.0"/>
    <col customWidth="1" min="3" max="3" width="60.0"/>
    <col customWidth="1" min="4" max="26" width="8.71"/>
  </cols>
  <sheetData>
    <row r="1">
      <c r="A1" s="5" t="s">
        <v>360</v>
      </c>
    </row>
    <row r="3">
      <c r="A3" s="34" t="s">
        <v>361</v>
      </c>
      <c r="B3" s="35"/>
      <c r="C3" s="36"/>
    </row>
    <row r="4">
      <c r="A4" s="37" t="s">
        <v>362</v>
      </c>
      <c r="B4" s="38">
        <f>COUNTIF('Casos de Teste'!A2:A200,"&lt;&gt;")</f>
        <v>31</v>
      </c>
      <c r="C4" s="39"/>
    </row>
    <row r="5">
      <c r="A5" s="37" t="s">
        <v>363</v>
      </c>
      <c r="B5" s="38">
        <f>COUNTIF('Casos de Teste'!L2:L200,"Passou")+COUNTIF('Casos de Teste'!L2:L200,"Falhou")+COUNTIF('Casos de Teste'!L2:L200,"Bloqueado")</f>
        <v>1</v>
      </c>
      <c r="C5" s="39"/>
    </row>
    <row r="6">
      <c r="A6" s="37" t="s">
        <v>179</v>
      </c>
      <c r="B6" s="38">
        <f>COUNTIF('Casos de Teste'!L2:L200,"Passou")</f>
        <v>1</v>
      </c>
      <c r="C6" s="39"/>
    </row>
    <row r="7">
      <c r="A7" s="37" t="s">
        <v>364</v>
      </c>
      <c r="B7" s="38">
        <f>COUNTIF('Casos de Teste'!L2:L200,"Falhou")</f>
        <v>0</v>
      </c>
      <c r="C7" s="39"/>
    </row>
    <row r="8">
      <c r="A8" s="37" t="s">
        <v>347</v>
      </c>
      <c r="B8" s="38">
        <f>COUNTIF('Casos de Teste'!L2:L200,"Bloqueado")</f>
        <v>0</v>
      </c>
      <c r="C8" s="39"/>
    </row>
    <row r="9">
      <c r="A9" s="37" t="s">
        <v>184</v>
      </c>
      <c r="B9" s="38">
        <f>COUNTIF('Casos de Teste'!L2:L200,"Não Executado")</f>
        <v>2</v>
      </c>
      <c r="C9" s="39"/>
    </row>
    <row r="10">
      <c r="A10" s="37" t="s">
        <v>365</v>
      </c>
      <c r="B10" s="40">
        <f>IFERROR(B6/B5,0)</f>
        <v>1</v>
      </c>
      <c r="C10" s="39"/>
    </row>
    <row r="12">
      <c r="A12" s="34" t="s">
        <v>366</v>
      </c>
      <c r="B12" s="35"/>
      <c r="C12" s="36"/>
    </row>
    <row r="13">
      <c r="A13" s="37" t="s">
        <v>367</v>
      </c>
      <c r="B13" s="38">
        <f>COUNTIF('Bug Report'!A2:A200,"&lt;&gt;")</f>
        <v>1</v>
      </c>
      <c r="C13" s="39"/>
    </row>
    <row r="14">
      <c r="A14" s="37" t="s">
        <v>368</v>
      </c>
      <c r="B14" s="38">
        <f>COUNTIF('Bug Report'!D2:D200,"Crítico")</f>
        <v>0</v>
      </c>
      <c r="C14" s="39"/>
    </row>
    <row r="15">
      <c r="A15" s="37" t="s">
        <v>369</v>
      </c>
      <c r="B15" s="38">
        <f>COUNTIF('Bug Report'!D2:D200,"Alto")</f>
        <v>0</v>
      </c>
      <c r="C15" s="39"/>
    </row>
    <row r="16">
      <c r="A16" s="37" t="s">
        <v>370</v>
      </c>
      <c r="B16" s="38">
        <f>COUNTIF('Bug Report'!D2:D200,"Médio")</f>
        <v>1</v>
      </c>
      <c r="C16" s="39"/>
    </row>
    <row r="17">
      <c r="A17" s="37" t="s">
        <v>371</v>
      </c>
      <c r="B17" s="38">
        <f>COUNTIF('Bug Report'!D2:D200,"Baixo")</f>
        <v>0</v>
      </c>
      <c r="C17" s="39"/>
    </row>
    <row r="18">
      <c r="A18" s="37" t="s">
        <v>372</v>
      </c>
      <c r="B18" s="38">
        <f>COUNTIF('Bug Report'!K2:K200,"Novo")+COUNTIF('Bug Report'!K2:K200,"Em Correção")+COUNTIF('Bug Report'!K2:K200,"Em Reteste")+COUNTIF('Bug Report'!K2:K200,"Reaberto")</f>
        <v>1</v>
      </c>
      <c r="C18" s="39"/>
    </row>
    <row r="19">
      <c r="A19" s="37" t="s">
        <v>373</v>
      </c>
      <c r="B19" s="38">
        <f>COUNTIF('Bug Report'!K2:K200,"Fechado")</f>
        <v>0</v>
      </c>
      <c r="C19" s="39"/>
    </row>
    <row r="21" ht="15.75" customHeight="1">
      <c r="A21" s="34" t="s">
        <v>374</v>
      </c>
      <c r="B21" s="35"/>
      <c r="C21" s="36"/>
    </row>
    <row r="22" ht="15.75" customHeight="1">
      <c r="A22" s="37" t="s">
        <v>375</v>
      </c>
      <c r="B22" s="38">
        <f>COUNTIF('Cenários de Teste'!A2:A205,"&lt;&gt;")</f>
        <v>30</v>
      </c>
      <c r="C22" s="39"/>
    </row>
    <row r="23" ht="15.75" customHeight="1">
      <c r="A23" s="37" t="s">
        <v>376</v>
      </c>
      <c r="B23" s="38">
        <f>COUNTIF('Cenários de Teste'!H2:H205,"Concluído")</f>
        <v>0</v>
      </c>
      <c r="C23" s="39"/>
    </row>
    <row r="24" ht="15.75" customHeight="1"/>
    <row r="25" ht="15.75" customHeight="1">
      <c r="A25" s="34" t="s">
        <v>377</v>
      </c>
      <c r="B25" s="35"/>
      <c r="C25" s="36"/>
    </row>
    <row r="26" ht="15.75" customHeight="1">
      <c r="A26" s="37" t="s">
        <v>378</v>
      </c>
      <c r="B26" s="41" t="s">
        <v>379</v>
      </c>
      <c r="C26" s="39"/>
    </row>
    <row r="27" ht="49.5" customHeight="1">
      <c r="A27" s="37" t="s">
        <v>380</v>
      </c>
      <c r="B27" s="42"/>
      <c r="C27" s="4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1"/>
    <mergeCell ref="A3:C3"/>
    <mergeCell ref="A12:C12"/>
    <mergeCell ref="A21:C21"/>
    <mergeCell ref="A25:C25"/>
    <mergeCell ref="B27:C27"/>
  </mergeCells>
  <printOptions/>
  <pageMargins bottom="1.0" footer="0.0" header="0.0" left="0.75" right="0.75" top="1.0"/>
  <pageSetup paperSize="9" orientation="portrait"/>
  <drawing r:id="rId1"/>
</worksheet>
</file>